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2"/>
  <workbookPr date1904="1"/>
  <mc:AlternateContent xmlns:mc="http://schemas.openxmlformats.org/markup-compatibility/2006">
    <mc:Choice Requires="x15">
      <x15ac:absPath xmlns:x15ac="http://schemas.microsoft.com/office/spreadsheetml/2010/11/ac" url="/Users/f000mwp/Dropbox/"/>
    </mc:Choice>
  </mc:AlternateContent>
  <xr:revisionPtr revIDLastSave="0" documentId="13_ncr:1_{03EDA6D8-0231-2044-9B0A-D882A29428E0}" xr6:coauthVersionLast="47" xr6:coauthVersionMax="47" xr10:uidLastSave="{00000000-0000-0000-0000-000000000000}"/>
  <bookViews>
    <workbookView xWindow="40" yWindow="460" windowWidth="35420" windowHeight="17680" tabRatio="500" firstSheet="7" activeTab="24" xr2:uid="{00000000-000D-0000-FFFF-FFFF00000000}"/>
  </bookViews>
  <sheets>
    <sheet name="1999" sheetId="8" r:id="rId1"/>
    <sheet name="2000" sheetId="7" r:id="rId2"/>
    <sheet name="2001" sheetId="1" r:id="rId3"/>
    <sheet name="2002" sheetId="2" r:id="rId4"/>
    <sheet name="2003" sheetId="3" r:id="rId5"/>
    <sheet name="2004" sheetId="6" r:id="rId6"/>
    <sheet name="2005" sheetId="5" r:id="rId7"/>
    <sheet name="2006" sheetId="4" r:id="rId8"/>
    <sheet name="2007" sheetId="9" r:id="rId9"/>
    <sheet name="2008" sheetId="12" r:id="rId10"/>
    <sheet name="2009" sheetId="13" r:id="rId11"/>
    <sheet name="2010" sheetId="14" r:id="rId12"/>
    <sheet name="2011" sheetId="15" r:id="rId13"/>
    <sheet name="2012" sheetId="16" r:id="rId14"/>
    <sheet name="2013" sheetId="17" r:id="rId15"/>
    <sheet name="2014" sheetId="18" r:id="rId16"/>
    <sheet name="2015" sheetId="19" r:id="rId17"/>
    <sheet name="2016" sheetId="20" r:id="rId18"/>
    <sheet name="2017" sheetId="21" r:id="rId19"/>
    <sheet name="2018" sheetId="22" r:id="rId20"/>
    <sheet name="2019" sheetId="23" r:id="rId21"/>
    <sheet name="2020" sheetId="24" r:id="rId22"/>
    <sheet name="2021" sheetId="25" r:id="rId23"/>
    <sheet name="Overall" sheetId="10" r:id="rId24"/>
    <sheet name="TOTALS" sheetId="11" r:id="rId25"/>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4"/>
    </ext>
  </extLst>
</workbook>
</file>

<file path=xl/calcChain.xml><?xml version="1.0" encoding="utf-8"?>
<calcChain xmlns="http://schemas.openxmlformats.org/spreadsheetml/2006/main">
  <c r="M19" i="10" l="1"/>
  <c r="M18" i="10"/>
  <c r="L19" i="10"/>
  <c r="L18" i="10"/>
  <c r="K19" i="10"/>
  <c r="K18" i="10"/>
  <c r="J19" i="10"/>
  <c r="J18" i="10"/>
  <c r="Q19" i="10"/>
  <c r="Q18" i="10"/>
  <c r="P19" i="10"/>
  <c r="P18" i="10"/>
  <c r="O19" i="10"/>
  <c r="O18" i="10"/>
  <c r="I19" i="10"/>
  <c r="I18" i="10"/>
  <c r="H19" i="10"/>
  <c r="H18" i="10"/>
  <c r="G19" i="10"/>
  <c r="G18" i="10"/>
  <c r="F19" i="10"/>
  <c r="F18" i="10"/>
  <c r="E19" i="10"/>
  <c r="E18" i="10"/>
  <c r="D19" i="10"/>
  <c r="D18" i="10"/>
  <c r="C19" i="10"/>
  <c r="C18" i="10"/>
  <c r="B19" i="10"/>
  <c r="B18" i="10"/>
  <c r="N19" i="10"/>
  <c r="R18" i="10"/>
  <c r="N18" i="10"/>
  <c r="F19" i="13"/>
  <c r="T19" i="13" s="1"/>
  <c r="S19" i="13"/>
  <c r="F20" i="13"/>
  <c r="S20" i="13"/>
  <c r="T20" i="13"/>
  <c r="F21" i="13"/>
  <c r="S21" i="13"/>
  <c r="T21" i="13"/>
  <c r="F22" i="13"/>
  <c r="S22" i="13"/>
  <c r="T22" i="13"/>
  <c r="F23" i="13"/>
  <c r="T23" i="13" s="1"/>
  <c r="S23" i="13"/>
  <c r="F24" i="13"/>
  <c r="T24" i="13" s="1"/>
  <c r="S24" i="13"/>
  <c r="F25" i="13"/>
  <c r="S25" i="13"/>
  <c r="T25" i="13"/>
  <c r="F26" i="13"/>
  <c r="S26" i="13"/>
  <c r="T26" i="13"/>
  <c r="F27" i="13"/>
  <c r="S27" i="13"/>
  <c r="T27" i="13" s="1"/>
  <c r="F28" i="13"/>
  <c r="S28" i="13"/>
  <c r="T28" i="13"/>
  <c r="F29" i="13"/>
  <c r="S29" i="13"/>
  <c r="T29" i="13"/>
  <c r="F30" i="13"/>
  <c r="S30" i="13"/>
  <c r="T30" i="13"/>
  <c r="L34" i="13"/>
  <c r="P34" i="13"/>
  <c r="L35" i="13"/>
  <c r="P35" i="13"/>
  <c r="L36" i="13"/>
  <c r="P36" i="13"/>
  <c r="L37" i="13"/>
  <c r="P37" i="13"/>
  <c r="L38" i="13"/>
  <c r="P38" i="13"/>
  <c r="L39" i="13"/>
  <c r="P39" i="13"/>
  <c r="L40" i="13"/>
  <c r="P40" i="13"/>
  <c r="L41" i="13"/>
  <c r="P41" i="13"/>
  <c r="L42" i="13"/>
  <c r="P42" i="13"/>
  <c r="L43" i="13"/>
  <c r="P43" i="13"/>
  <c r="L44" i="13"/>
  <c r="P44" i="13"/>
  <c r="L45" i="13"/>
  <c r="P45" i="13"/>
</calcChain>
</file>

<file path=xl/sharedStrings.xml><?xml version="1.0" encoding="utf-8"?>
<sst xmlns="http://schemas.openxmlformats.org/spreadsheetml/2006/main" count="3453" uniqueCount="1154">
  <si>
    <t xml:space="preserve">for a new league starting in 2011. Lowest hitting totals in league history as the year was dominated by pitching. Robb broke league record for pitching with some crazy SP and RP including a perfect game by Roy Halladay. League was really tight at the All Star break and separation really did not occur in the standings until August. Robb started to pull away by early-mid August. Mat Latos was a key waiver wire pick-up for Robb. Vlangos traded Pujols, again :-). Jason Bemister went for broke aquiring Jason youngsters Jason Heyward and Stephen Strasburg. Strasburg tore his ulnar collateral ligament after several dominating starts and needs TJ surgery. Dean Mitchell elected to retire his franchise at the end of the season. A search for a new owner is underway. </t>
    <phoneticPr fontId="16" type="noConversion"/>
  </si>
  <si>
    <t>AVG</t>
  </si>
  <si>
    <t>H</t>
  </si>
  <si>
    <t>HR</t>
  </si>
  <si>
    <t>RBI</t>
  </si>
  <si>
    <t>BB</t>
  </si>
  <si>
    <t>SB</t>
  </si>
  <si>
    <t>K</t>
  </si>
  <si>
    <t>Hit FP/G</t>
  </si>
  <si>
    <t>Hit FP</t>
  </si>
  <si>
    <t>Hitting</t>
    <phoneticPr fontId="16" type="noConversion"/>
  </si>
  <si>
    <t>Pitching</t>
    <phoneticPr fontId="16" type="noConversion"/>
  </si>
  <si>
    <t>SP-G</t>
  </si>
  <si>
    <t>RP-G</t>
  </si>
  <si>
    <t>W</t>
  </si>
  <si>
    <t>L</t>
  </si>
  <si>
    <t>BS</t>
  </si>
  <si>
    <t>ER</t>
  </si>
  <si>
    <t>ERA</t>
  </si>
  <si>
    <t>Pit FP/G</t>
  </si>
  <si>
    <t>Pit FP</t>
  </si>
  <si>
    <t>Erik Johnson</t>
    <phoneticPr fontId="16" type="noConversion"/>
  </si>
  <si>
    <t>Erik Berg</t>
    <phoneticPr fontId="16" type="noConversion"/>
  </si>
  <si>
    <t>Dean Mitchell</t>
    <phoneticPr fontId="16" type="noConversion"/>
  </si>
  <si>
    <t>Jim Daley</t>
    <phoneticPr fontId="16" type="noConversion"/>
  </si>
  <si>
    <t>Rob Berg</t>
    <phoneticPr fontId="16" type="noConversion"/>
  </si>
  <si>
    <t>John Pilon</t>
    <phoneticPr fontId="16" type="noConversion"/>
  </si>
  <si>
    <t>Bob Nash</t>
    <phoneticPr fontId="16" type="noConversion"/>
  </si>
  <si>
    <t>Jason Bemister</t>
    <phoneticPr fontId="16" type="noConversion"/>
  </si>
  <si>
    <t>Chris Fryrear</t>
    <phoneticPr fontId="16" type="noConversion"/>
  </si>
  <si>
    <t>Owner</t>
    <phoneticPr fontId="16" type="noConversion"/>
  </si>
  <si>
    <t>Beasts</t>
  </si>
  <si>
    <t>Austin Kearns</t>
  </si>
  <si>
    <t>Ricky Nolasco</t>
  </si>
  <si>
    <t>Brett Gardner</t>
  </si>
  <si>
    <t>LimaTime</t>
  </si>
  <si>
    <t>Michael Cuddyer</t>
  </si>
  <si>
    <t>Wade LeBlanc</t>
  </si>
  <si>
    <t>Chad Qualls</t>
  </si>
  <si>
    <t>Swagger</t>
  </si>
  <si>
    <t>Seth Smith</t>
  </si>
  <si>
    <t>Ryan Zimmerman</t>
  </si>
  <si>
    <t>Rafael Soriano</t>
  </si>
  <si>
    <t>Jose Bautista</t>
  </si>
  <si>
    <t>Geovany Soto</t>
  </si>
  <si>
    <t>Urine?</t>
  </si>
  <si>
    <t>Aaron Heilman</t>
  </si>
  <si>
    <t>Baby Dadd</t>
  </si>
  <si>
    <t>Bronson Arroyo</t>
  </si>
  <si>
    <t>Nick Swisher</t>
  </si>
  <si>
    <t>Shane Victorino</t>
  </si>
  <si>
    <t>WOOOS</t>
  </si>
  <si>
    <t>Randy Wolf</t>
  </si>
  <si>
    <t>Jason Bartlett</t>
  </si>
  <si>
    <t>Carl Crawford</t>
  </si>
  <si>
    <t>Ben Zobrist</t>
  </si>
  <si>
    <t>Prince Fielder</t>
  </si>
  <si>
    <t>John Axford</t>
  </si>
  <si>
    <t>Nick Markakis</t>
  </si>
  <si>
    <t>Truf Shuf</t>
  </si>
  <si>
    <t>Jay Bruce</t>
  </si>
  <si>
    <t>Aaron Hill</t>
  </si>
  <si>
    <t>Carlos Lee</t>
  </si>
  <si>
    <t>Pablo Sandoval</t>
  </si>
  <si>
    <t>Dustin Pedroia</t>
  </si>
  <si>
    <t>Billy Wagner</t>
  </si>
  <si>
    <t>Adam Jones</t>
  </si>
  <si>
    <t>Barry Zito</t>
  </si>
  <si>
    <t>Derek Lowe</t>
  </si>
  <si>
    <t>Millers</t>
  </si>
  <si>
    <t>1899 Clev</t>
  </si>
  <si>
    <t>Will Ohman</t>
  </si>
  <si>
    <t>Ryan Braun</t>
  </si>
  <si>
    <t>Ryan Franklin</t>
  </si>
  <si>
    <t>Andrew McCutchen</t>
  </si>
  <si>
    <t>Rod Barajas</t>
  </si>
  <si>
    <t>Koji Uehara</t>
  </si>
  <si>
    <t>Brandon Phillips</t>
  </si>
  <si>
    <t>Carlos Villanueva</t>
  </si>
  <si>
    <t>Conor Jackson</t>
  </si>
  <si>
    <t>Heath Bell</t>
  </si>
  <si>
    <t>Zack Greinke</t>
  </si>
  <si>
    <t>Adam Lind</t>
  </si>
  <si>
    <t>Vernon Wells</t>
  </si>
  <si>
    <t>Starlin Castro</t>
  </si>
  <si>
    <t>DH</t>
  </si>
  <si>
    <t>Kurt Suzuki</t>
  </si>
  <si>
    <t>Andrew Bailey</t>
  </si>
  <si>
    <t>Randy Wells</t>
  </si>
  <si>
    <t>Grady Sizemore</t>
  </si>
  <si>
    <t>Jason Heyward</t>
  </si>
  <si>
    <t>Luis Castillo</t>
  </si>
  <si>
    <t>Bengie Molina</t>
  </si>
  <si>
    <t>TRADES</t>
    <phoneticPr fontId="16" type="noConversion"/>
  </si>
  <si>
    <r>
      <t xml:space="preserve">League Notes: </t>
    </r>
    <r>
      <rPr>
        <sz val="12"/>
        <rFont val="Verdana"/>
      </rPr>
      <t>Chris Martinez rejoined the league and took over for Derek Betcher. This ends up being our last year at Sandbox as Sandboc folds. We'll be looking</t>
    </r>
    <phoneticPr fontId="16" type="noConversion"/>
  </si>
  <si>
    <t xml:space="preserve">Geovany Soto </t>
  </si>
  <si>
    <t xml:space="preserve">Ricky Nolasco </t>
  </si>
  <si>
    <t xml:space="preserve">Wandy Rodriguez </t>
  </si>
  <si>
    <t xml:space="preserve">Carlos Lee </t>
  </si>
  <si>
    <t xml:space="preserve">Brian McCann </t>
  </si>
  <si>
    <t xml:space="preserve">Ichiro Suzuki </t>
  </si>
  <si>
    <t xml:space="preserve">Kevin Youkilis </t>
  </si>
  <si>
    <t xml:space="preserve">Lance Berkman </t>
  </si>
  <si>
    <t xml:space="preserve">Mike Napoli </t>
  </si>
  <si>
    <t xml:space="preserve">Jermaine Dye </t>
  </si>
  <si>
    <t xml:space="preserve">Aubrey Huff </t>
  </si>
  <si>
    <t xml:space="preserve">Prince Fielder </t>
  </si>
  <si>
    <t xml:space="preserve">Jason Varitek </t>
  </si>
  <si>
    <t xml:space="preserve">WOOS </t>
  </si>
  <si>
    <t xml:space="preserve">Joakim Soria </t>
  </si>
  <si>
    <t xml:space="preserve">Bozone </t>
  </si>
  <si>
    <t xml:space="preserve">Jorge De La Rosa </t>
  </si>
  <si>
    <t xml:space="preserve">Michael Cuddyer </t>
  </si>
  <si>
    <t xml:space="preserve">Kevin Gregg </t>
  </si>
  <si>
    <t xml:space="preserve">Scott Kazmir </t>
  </si>
  <si>
    <t xml:space="preserve">Mark Buehrle </t>
  </si>
  <si>
    <t xml:space="preserve">Jindal's </t>
  </si>
  <si>
    <t xml:space="preserve">Javier Vazquez </t>
  </si>
  <si>
    <t xml:space="preserve">Loopers </t>
  </si>
  <si>
    <t xml:space="preserve">James Loney </t>
  </si>
  <si>
    <t xml:space="preserve">Victor Martinez </t>
  </si>
  <si>
    <t xml:space="preserve">John Danks </t>
  </si>
  <si>
    <t xml:space="preserve">Jake Fox </t>
  </si>
  <si>
    <t xml:space="preserve">Justin Morneau </t>
  </si>
  <si>
    <t xml:space="preserve">LEAFS </t>
  </si>
  <si>
    <t xml:space="preserve">Scott Hairston </t>
  </si>
  <si>
    <t xml:space="preserve">Adrian Gonzalez </t>
  </si>
  <si>
    <t xml:space="preserve">David DeJesus </t>
  </si>
  <si>
    <t xml:space="preserve">Miguel Cabrera </t>
  </si>
  <si>
    <t xml:space="preserve">Jonathan Sanchez </t>
  </si>
  <si>
    <t xml:space="preserve">Dustin Pedroia </t>
  </si>
  <si>
    <t xml:space="preserve">Justin Verlander </t>
  </si>
  <si>
    <t xml:space="preserve">Felipe Lopez </t>
  </si>
  <si>
    <t xml:space="preserve">Brian Wilson </t>
  </si>
  <si>
    <t xml:space="preserve">Loafers </t>
  </si>
  <si>
    <t xml:space="preserve">Andy Pettitte </t>
  </si>
  <si>
    <t xml:space="preserve">Nelson Cruz </t>
  </si>
  <si>
    <t xml:space="preserve">Jose Reyes </t>
  </si>
  <si>
    <t xml:space="preserve">Joe Nathan </t>
  </si>
  <si>
    <t xml:space="preserve">John Lackey </t>
  </si>
  <si>
    <t xml:space="preserve">Manny Ramirez </t>
  </si>
  <si>
    <t xml:space="preserve">Milton Bradley </t>
  </si>
  <si>
    <t xml:space="preserve">Mark Reynolds </t>
  </si>
  <si>
    <t xml:space="preserve">Ryan Theriot </t>
  </si>
  <si>
    <t xml:space="preserve">Ian Kinsler </t>
  </si>
  <si>
    <t xml:space="preserve">Cole Hamels </t>
  </si>
  <si>
    <t xml:space="preserve">Vernon Wells </t>
  </si>
  <si>
    <t xml:space="preserve">Derrek Lee </t>
  </si>
  <si>
    <t xml:space="preserve">Trevor Hoffman </t>
  </si>
  <si>
    <t xml:space="preserve">CC Sabathia </t>
  </si>
  <si>
    <t xml:space="preserve">Brian Roberts </t>
  </si>
  <si>
    <t xml:space="preserve">Todd Helton </t>
  </si>
  <si>
    <t xml:space="preserve">Francisco Liriano </t>
  </si>
  <si>
    <t xml:space="preserve">Albert Pujols </t>
  </si>
  <si>
    <t xml:space="preserve">Jose Lopez </t>
  </si>
  <si>
    <t xml:space="preserve">Chris Iannetta </t>
  </si>
  <si>
    <t xml:space="preserve">Nick Swisher </t>
  </si>
  <si>
    <t xml:space="preserve">Bashers </t>
  </si>
  <si>
    <t xml:space="preserve">Jhonny Peralta </t>
  </si>
  <si>
    <t xml:space="preserve">Gordon Beckham </t>
  </si>
  <si>
    <t xml:space="preserve">Alberto Callaspo </t>
  </si>
  <si>
    <t xml:space="preserve">Alex Rios </t>
  </si>
  <si>
    <t xml:space="preserve">Elf NFB! </t>
  </si>
  <si>
    <t xml:space="preserve">Chone Figgins </t>
  </si>
  <si>
    <t>Bemister sent Jason Kendall to Vlangos (7/21/2004)</t>
  </si>
  <si>
    <t>Bemister sent Edgardo Alfonzo to Vlangos (7/21/2004)</t>
  </si>
  <si>
    <t>Vlangos sent Jason Varitek to Bemister (7/21/2004)</t>
  </si>
  <si>
    <t>Bozeman Lima Time</t>
  </si>
  <si>
    <t>RonnieWOOOS</t>
  </si>
  <si>
    <t>Urine? You're Out!</t>
  </si>
  <si>
    <t>Jindal/Ryan 2012</t>
  </si>
  <si>
    <t>Baby Daddies</t>
  </si>
  <si>
    <t>The Truffle Shuffles</t>
  </si>
  <si>
    <t>Swagger Wagon</t>
  </si>
  <si>
    <t>Beasts of Armageddon</t>
  </si>
  <si>
    <t>Ft Collins Boneheads</t>
  </si>
  <si>
    <t>Hitters FP/G</t>
    <phoneticPr fontId="16" type="noConversion"/>
  </si>
  <si>
    <t>Pitchers FP/G</t>
    <phoneticPr fontId="16" type="noConversion"/>
  </si>
  <si>
    <t>Robert Cramer</t>
    <phoneticPr fontId="16" type="noConversion"/>
  </si>
  <si>
    <t>John Vlangos</t>
    <phoneticPr fontId="16" type="noConversion"/>
  </si>
  <si>
    <t>Chris Martinez</t>
    <phoneticPr fontId="16" type="noConversion"/>
  </si>
  <si>
    <t>Daley sent Erubiel Durazo to EBerg  (5/12/2003)</t>
  </si>
  <si>
    <t>Berg sent Jason Giambi to Daley (5/12/2003)</t>
  </si>
  <si>
    <t>Cramer sent Brad Radke to Pilon  (6/18/2003)</t>
  </si>
  <si>
    <t>Pilon sent Robert Fick to Cramer  (6/18/2003)</t>
  </si>
  <si>
    <t>Mitchell sent Russ Ortiz to Nash  (6/20/2003)</t>
  </si>
  <si>
    <t>Nash sent Moises Alou to Mitchell  (6/20/2003)</t>
  </si>
  <si>
    <t>EBerg sent Randy Winn to RBerg  (6/23/2003)</t>
  </si>
  <si>
    <t>RBerg sent Danys Baez to EBerg  (6/23/2003)</t>
  </si>
  <si>
    <t>Cramer sent Charles Johnson to Fryrear (6/29/2003)</t>
  </si>
  <si>
    <t>Cramer sent Carlos Lee to Fryrear (6/29/2003)</t>
  </si>
  <si>
    <t>Cramer sent Kyle Lohse to Fryrear (6/29/2003)</t>
  </si>
  <si>
    <t>Cramer sent Tim Worrell to Fryrear (6/29/2003)</t>
  </si>
  <si>
    <t>Fryrear sent J.D. Drew to Cramer (6/29/2003)</t>
  </si>
  <si>
    <t>Fryrear sent Tim Hudson to Cramer (6/29/2003)</t>
  </si>
  <si>
    <t>RBerg sent Ramon Ortiz to Nash (7/13/2003)</t>
  </si>
  <si>
    <t>Nash sent Alex Cintron to RBerg (7/13/2003)</t>
  </si>
  <si>
    <t>Trades: (Definitely not comprehensive)</t>
  </si>
  <si>
    <t>K.Clocksin sent Tony Graffanino to Nash (8/15/2002)</t>
  </si>
  <si>
    <t>K.Clocksin sent Royce Clayton to Nash (8/15/2002)</t>
  </si>
  <si>
    <t>K. Clocksin sent Barry Bonds to Nash (8/15/2002)</t>
  </si>
  <si>
    <t>Nash sent Rafael Palmeiro to Clocksin (8/1/2002)</t>
  </si>
  <si>
    <t>Nash sent Mike Mussina to Clocksin (8/1/2002)</t>
  </si>
  <si>
    <t>Nash sent Mark Mulder to Clocksin (8/1/2002)</t>
  </si>
  <si>
    <t>Season Notes:</t>
    <phoneticPr fontId="16" type="noConversion"/>
  </si>
  <si>
    <t>Total Since 2001</t>
    <phoneticPr fontId="0" type="noConversion"/>
  </si>
  <si>
    <t>Bold Denotes Champ</t>
  </si>
  <si>
    <t>Cramer sent Todd Jones to Pilon (8/15/2005)</t>
  </si>
  <si>
    <t>Johnson sent Billy Wagner to Cramer (8/8/2005)</t>
  </si>
  <si>
    <t>Bemister sent Brian Roberts to Mitchell (8/12/2005)</t>
  </si>
  <si>
    <t>Vlangos sent Victor Martinez to Cramer</t>
  </si>
  <si>
    <t>Bemister sent Michael Young to Mitchell (8/12/2005)</t>
  </si>
  <si>
    <t>Vlangos sent Joe Mauer to Cramer</t>
  </si>
  <si>
    <t>*Stats not available for 1999 and 2000. In 1999 the first year of the league we had a computer automated draft and a 10 team league won by Bob Nash</t>
  </si>
  <si>
    <t>In 2000, our first year of the live draft we expanded to 12 teams and Robb Cramer won.</t>
  </si>
  <si>
    <t>*For League Members That Far, No stats available for 1999 and 2000 seasons</t>
  </si>
  <si>
    <t xml:space="preserve">DATE </t>
  </si>
  <si>
    <t xml:space="preserve">Spiders </t>
  </si>
  <si>
    <t xml:space="preserve"> Matt Capps  </t>
  </si>
  <si>
    <t xml:space="preserve">Gnash </t>
  </si>
  <si>
    <t xml:space="preserve">Gil Meche </t>
  </si>
  <si>
    <t xml:space="preserve">Scott Baker </t>
  </si>
  <si>
    <t xml:space="preserve">Carl Crawford </t>
  </si>
  <si>
    <t>Mitchell sent Garret Anderson to Bemister (8/12/2005)</t>
  </si>
  <si>
    <t>Cramer sent Albert Pujols to Vlangos</t>
  </si>
  <si>
    <t>Mitchell sent Dmitri Young to Bemister (8/12/2005)</t>
  </si>
  <si>
    <t>Cramer sent Matt Lecroy to Vlangos</t>
  </si>
  <si>
    <t>Cramer sent Ryan Doumit to Vlangos</t>
  </si>
  <si>
    <t>NOT SURE IF THESE WERE ALLOWED DUE TO THE DATE</t>
  </si>
  <si>
    <t>Cramer sent Ronnie Belliard to Vlangos</t>
  </si>
  <si>
    <t>Betcher sent Scott Podsednik to Nash (9/13/2005)</t>
  </si>
  <si>
    <t>Cramer sent Jose Guillen to Vlangos</t>
  </si>
  <si>
    <t>Nash sent Ryan Dempster to Betcher (9/13/2005)</t>
  </si>
  <si>
    <t>Cramer sent Freddy Garcia to Vlangos</t>
  </si>
  <si>
    <t>Mitchell sent Michael Young to Betcher (9/13/2005)</t>
  </si>
  <si>
    <t>Betcher sent Josh Beckett to Mitchell (9/13/2005)</t>
  </si>
  <si>
    <t>Trades: (Likely Not Comprehensive)</t>
  </si>
  <si>
    <t>Daley sent Michael Young to EBerg (5/4/2004)</t>
  </si>
  <si>
    <t>EBergt sent Aubrey Huff to Daley (5/4/2004)</t>
  </si>
  <si>
    <t>Pilon sent Juan Pierre to Daley (7/13/2004)</t>
  </si>
  <si>
    <t>Daley sent Matt Herges to Pilon (7/13/2004)</t>
  </si>
  <si>
    <t>Cramer sent Alex Rodriguez to Mitchell (7/21/2004)</t>
  </si>
  <si>
    <t>Cramer sent Kris Benson to Mitchell (7/21/2004)</t>
  </si>
  <si>
    <t>Cramer sent Daniel Cabrera to Mitchell (7/21/2004)</t>
  </si>
  <si>
    <t>Cramer sent Troy Percival to Mitchell (7/21/2004)</t>
  </si>
  <si>
    <t>Mitchell sent Chone Figgins to Cramer (7/21/2004)</t>
  </si>
  <si>
    <t>Mitchell sent Curt Shilling to Cramer (7/21/2004)</t>
  </si>
  <si>
    <t>Mitchell sent Mariano Rivera to Cramer (7/21/2004)</t>
  </si>
  <si>
    <t>Daley sent Luis Matos to EBerg  (5/4/2005)</t>
  </si>
  <si>
    <t>RBerg sent Shannon Stewart to Nash (7/22/2005)</t>
  </si>
  <si>
    <t>Daley sent Bob Wickman to EBerg  (5/4/2005)</t>
  </si>
  <si>
    <t>EBerg sent Victor Martinez to Vlangos (8/1/2005)</t>
  </si>
  <si>
    <t>RBerg sent Garret Anderson to Mitchell (7/21/2005)</t>
  </si>
  <si>
    <t>EBerg sent Joe Mauer to Vlangos (8/1/2005)</t>
  </si>
  <si>
    <t>Vlangos sent Brian Roberts to Bemister (7/21/2004)</t>
  </si>
  <si>
    <t>Vlangos sent Jack Wilson to Bemister (7/21/2004)</t>
  </si>
  <si>
    <t>Trades: (Likely not comprehensive)</t>
  </si>
  <si>
    <t>Betcher sent Scott Williamson to Vlangos (4/23/2003)</t>
  </si>
  <si>
    <t>Vlangos sent Andruw Jones to Betcher  (4/23/2003)</t>
  </si>
  <si>
    <t>Betcher sent Preston Wilson to Fryrear  (4/25/2003)</t>
  </si>
  <si>
    <t>Fryrear sent Mark Buehrle to Betcher  (4/25/2003)</t>
  </si>
  <si>
    <t>Daley sent Kevin Brown to EBerg  (5/12/2003)</t>
  </si>
  <si>
    <t>Mitchell sent Brad Radke to RBerg  (7/21/2005)</t>
  </si>
  <si>
    <t>Vlangos sent Mark Loretta to EBerg (8/1/2005)</t>
  </si>
  <si>
    <t>Vlangos sent Carl Everett to EBerg (8/1/2005)</t>
  </si>
  <si>
    <t>Pilon sent Mike Hampton to Cramer  (8/2/2005)</t>
  </si>
  <si>
    <t>Vlangos sent Ryan Klesko to EBerg (8/1/2005)</t>
  </si>
  <si>
    <t>Cramer sent David Roberts to Pilon  (8/2/2005)</t>
  </si>
  <si>
    <t>Vlangos sent Johan Santana to EBerg (8/1/2005)</t>
  </si>
  <si>
    <t>Fryrear sent Juan Pierre to Daley (8/3/2005)</t>
  </si>
  <si>
    <t>Bemister sent Aramis Ramirez to Cramer (8/2/2005)</t>
  </si>
  <si>
    <t>Fryrear sent Barry Zito to Daley (8/3/2005)</t>
  </si>
  <si>
    <t>Bemister sent Carlos Beltran to Cramer (8/2/2005)</t>
  </si>
  <si>
    <t>Daley sent Brad Penny to Fryrear (8/3/2005)</t>
  </si>
  <si>
    <t>Bemister sent Jon Garland to Cramer (8/2/2005)</t>
  </si>
  <si>
    <t>Daley sent Mariano Rivera to Fryrear (8/3/2005)</t>
  </si>
  <si>
    <t>Bemister sent Freddy Garcia to Cramer (8/2/2005)</t>
  </si>
  <si>
    <t>Cramer sent Hank Blaylock to Bemister (8/2/2005)</t>
  </si>
  <si>
    <t>Daley sent Paul LaDuca to Johnson (8/12/2005)</t>
  </si>
  <si>
    <t>Cramer sent Vladimir Guerrero to Bemister (8/2/2005)</t>
  </si>
  <si>
    <t>Daley sent Carlos Lee to Johnson (8/12/2005)</t>
  </si>
  <si>
    <t>Cramer sent Rich Harden to Bemister (8/2/2005)</t>
  </si>
  <si>
    <t>Johnson sent Roger Clemens to Daley (8/12/2005)</t>
  </si>
  <si>
    <t>Cramer sent Bronson Arroyo to Bemister (8/2/2005)</t>
  </si>
  <si>
    <t>Pilon sent Jose Guillen to Cramer (8/15/2005)</t>
  </si>
  <si>
    <t>Cramer sent Erik Bedard to Johnson (8/8/2005)</t>
  </si>
  <si>
    <t>Jered Weaver</t>
  </si>
  <si>
    <t>Omar Vizquel</t>
  </si>
  <si>
    <t>Brian Giles</t>
  </si>
  <si>
    <t>Hector Luna</t>
  </si>
  <si>
    <t>Roger Clemens</t>
  </si>
  <si>
    <t>Chris Young</t>
  </si>
  <si>
    <t>BONEHEADS</t>
  </si>
  <si>
    <t>Trevor Hoffman</t>
  </si>
  <si>
    <t>Brad Hawpe</t>
  </si>
  <si>
    <t>Frank Catalanotto</t>
  </si>
  <si>
    <t>Johan Santana</t>
  </si>
  <si>
    <t>Josh Willingham</t>
  </si>
  <si>
    <t>FLA</t>
  </si>
  <si>
    <t>Chad Tracy</t>
  </si>
  <si>
    <t>Dan Uggla</t>
  </si>
  <si>
    <t>Johnny Estrada</t>
  </si>
  <si>
    <t>Brian Roberts</t>
  </si>
  <si>
    <t>Derek Jeter</t>
  </si>
  <si>
    <t>Bemister sent Hank Blaylock to Mitchell (8/12/2005)</t>
  </si>
  <si>
    <t>Vlangos sent Shawn Green to Cramer</t>
  </si>
  <si>
    <t>Bemister sent Vladimir Guerrero to Mitchell (8/12/2005)</t>
  </si>
  <si>
    <t>Vlangos sent Placido Polanco to Cramer</t>
  </si>
  <si>
    <t>Mitchell sent Jeff Kent to Bemister (8/12/2005)</t>
  </si>
  <si>
    <t>Vlangos sent Johnny Damon to Cramer</t>
  </si>
  <si>
    <t>Mitchell sent Orlando Cabrera to Bemister (8/12/2005)</t>
  </si>
  <si>
    <t>Vlangos sent Randy Johnson to Cramer</t>
  </si>
  <si>
    <t>Jack Wilson</t>
  </si>
  <si>
    <t>Rocco Baldelli</t>
  </si>
  <si>
    <t>Tom Glavine</t>
  </si>
  <si>
    <t>Nomar Garciaparra</t>
  </si>
  <si>
    <t>David Eckstein</t>
  </si>
  <si>
    <t>Mark Buehrle</t>
  </si>
  <si>
    <t>Mike Lieberthal</t>
  </si>
  <si>
    <t>Aaron Miles</t>
  </si>
  <si>
    <t>Mike Jacobs</t>
  </si>
  <si>
    <t>Ryan Freel</t>
  </si>
  <si>
    <t>Scott Podsednik</t>
  </si>
  <si>
    <t>Keith Foulke</t>
  </si>
  <si>
    <t>3/20/2006(retro)</t>
  </si>
  <si>
    <t>Barry Bonds</t>
  </si>
  <si>
    <t>A.J. Burnett</t>
  </si>
  <si>
    <t xml:space="preserve">   Vetoed Trade - Aug. 10 - 8:57 pm et</t>
  </si>
  <si>
    <t>Fair - Spiders - Loafers</t>
  </si>
  <si>
    <t>Veto - BluDevils - Gnashers - WOOS - Loopers - VB Boys - Chuck</t>
  </si>
  <si>
    <t xml:space="preserve">Aug. 8 - 10:48 am et  </t>
  </si>
  <si>
    <t xml:space="preserve"> VOTED DOWN  </t>
  </si>
  <si>
    <t xml:space="preserve">MOLINE MAPLE LE  </t>
  </si>
  <si>
    <t xml:space="preserve">1899 Cleveland   </t>
  </si>
  <si>
    <t xml:space="preserve">Michael Barrett  </t>
  </si>
  <si>
    <t xml:space="preserve">CHC  </t>
  </si>
  <si>
    <t xml:space="preserve">Aug. 8 - 10:48 am et </t>
  </si>
  <si>
    <t xml:space="preserve">VOTED DOWN </t>
  </si>
  <si>
    <t xml:space="preserve">MOLINE MAPLE LE </t>
  </si>
  <si>
    <t xml:space="preserve">1899 Cleveland  </t>
  </si>
  <si>
    <t xml:space="preserve">Ryan Howard </t>
  </si>
  <si>
    <t xml:space="preserve">1B </t>
  </si>
  <si>
    <t xml:space="preserve">PHI </t>
  </si>
  <si>
    <t xml:space="preserve">Scott Rolen </t>
  </si>
  <si>
    <t xml:space="preserve">STL </t>
  </si>
  <si>
    <t xml:space="preserve">Matt Holliday </t>
  </si>
  <si>
    <t xml:space="preserve">Chris Carpenter </t>
  </si>
  <si>
    <t xml:space="preserve">Miguel Olivo </t>
  </si>
  <si>
    <t xml:space="preserve">FLA </t>
  </si>
  <si>
    <t xml:space="preserve">Lyle Overbay </t>
  </si>
  <si>
    <t xml:space="preserve">Torii Hunter </t>
  </si>
  <si>
    <t xml:space="preserve">MIN </t>
  </si>
  <si>
    <t xml:space="preserve">Jose Contreras </t>
  </si>
  <si>
    <t xml:space="preserve">CWS </t>
  </si>
  <si>
    <t xml:space="preserve">Rich Harden </t>
  </si>
  <si>
    <t xml:space="preserve">OAK </t>
  </si>
  <si>
    <t xml:space="preserve">Ryan Dempster </t>
  </si>
  <si>
    <t>Matt Morris</t>
  </si>
  <si>
    <t>VETO</t>
  </si>
  <si>
    <t>Cramer sent Jose Contreras to Daley (6/1/2005)</t>
  </si>
  <si>
    <t>EBerg sent Vernon Wells to Daley  (5/4/2005)</t>
  </si>
  <si>
    <t>Daley sent David Roberts to Cramer (6/1/2005)</t>
  </si>
  <si>
    <t>EBerg sent Brandon Lyon to Daley  (5/4/2005)</t>
  </si>
  <si>
    <t xml:space="preserve"> </t>
  </si>
  <si>
    <t>Daley sent Cliff Floyd to EBerg  (5/4/2005)</t>
  </si>
  <si>
    <t>Nash sent Todd Walker to RBerg (7/22/2005)</t>
  </si>
  <si>
    <t>Carlos Delgado</t>
  </si>
  <si>
    <t>Mark Hendrickson</t>
  </si>
  <si>
    <t>Akinori Otsuka</t>
  </si>
  <si>
    <t>TEX</t>
  </si>
  <si>
    <t>Josh Barfield</t>
  </si>
  <si>
    <t>Carlos Zambrano</t>
  </si>
  <si>
    <t>Chase Utley</t>
  </si>
  <si>
    <t xml:space="preserve">   Vetoed Trade - Aug. 13 - 2:10 pm et</t>
  </si>
  <si>
    <t xml:space="preserve">Johnny Estrada  </t>
  </si>
  <si>
    <t xml:space="preserve">C  </t>
  </si>
  <si>
    <t xml:space="preserve">MLW  </t>
  </si>
  <si>
    <t xml:space="preserve">Gnashers </t>
  </si>
  <si>
    <t xml:space="preserve">Alex Rodriguez </t>
  </si>
  <si>
    <t xml:space="preserve">3B </t>
  </si>
  <si>
    <t xml:space="preserve">NYY </t>
  </si>
  <si>
    <t xml:space="preserve">Andruw Jones </t>
  </si>
  <si>
    <t xml:space="preserve">OF </t>
  </si>
  <si>
    <t xml:space="preserve">ATL </t>
  </si>
  <si>
    <t>RBerg sent Mark Prior to Mitchell (7/21/2005)</t>
  </si>
  <si>
    <t>EBerg sent Moises Alou to Vlangos (8/1/2005)</t>
  </si>
  <si>
    <t>Mitchell sent Bobby Abreu to RBerg  (7/21/2005)</t>
  </si>
  <si>
    <t>EBerg sent A.J. Burnett to Vlangos (8/1/2005)</t>
  </si>
  <si>
    <t>Mitchell sent Randy Winn to RBerg  (7/21/2005)</t>
  </si>
  <si>
    <t>EBerg sent Carlos Silva to Vlangos (8/1/2005)</t>
  </si>
  <si>
    <t>Mitchell sent Jason Marquis to RBerg  (7/21/2005)</t>
  </si>
  <si>
    <t>Vlangos sent Rod Barajas to EBerg (8/1/2005)</t>
  </si>
  <si>
    <t>McCains</t>
  </si>
  <si>
    <t>Felix Hernandez</t>
  </si>
  <si>
    <t>Milton Bradley</t>
  </si>
  <si>
    <t>Placido Polanco</t>
  </si>
  <si>
    <t>Jason Giambi</t>
  </si>
  <si>
    <t>Clay Buchholz</t>
  </si>
  <si>
    <t>Manny Parra</t>
  </si>
  <si>
    <t>CC Sabathia</t>
  </si>
  <si>
    <t>Hunter Pence</t>
  </si>
  <si>
    <t>Maicer Izturis</t>
  </si>
  <si>
    <t>Machine</t>
  </si>
  <si>
    <t>Jason Isringhausen</t>
  </si>
  <si>
    <t>Justin Duchscherer</t>
  </si>
  <si>
    <t>Cliff Lee</t>
  </si>
  <si>
    <t>Ryan Doumit</t>
  </si>
  <si>
    <t>Armando Galarraga</t>
  </si>
  <si>
    <t>Andy Sonnanstine</t>
  </si>
  <si>
    <t>Tim Lincecum</t>
  </si>
  <si>
    <t>David DeJesus</t>
  </si>
  <si>
    <t>Bashers</t>
  </si>
  <si>
    <t>Ramon Vazquez</t>
  </si>
  <si>
    <t>Kevin Youkilis</t>
  </si>
  <si>
    <t>Jonathan Broxton</t>
  </si>
  <si>
    <t>Troy Glaus</t>
  </si>
  <si>
    <t>Montreal</t>
  </si>
  <si>
    <t>Brandon Webb</t>
  </si>
  <si>
    <t>Ben Sheets</t>
  </si>
  <si>
    <t>Bozone</t>
  </si>
  <si>
    <t>Kevin Slowey</t>
  </si>
  <si>
    <t>Miguel Cabrera</t>
  </si>
  <si>
    <t>Josh Beckett</t>
  </si>
  <si>
    <t>Chone Figgins</t>
  </si>
  <si>
    <t>Damaso Marte</t>
  </si>
  <si>
    <t>Cody Ross</t>
  </si>
  <si>
    <t>Hanley Ramirez</t>
  </si>
  <si>
    <t>Michael Young</t>
  </si>
  <si>
    <t>Justin Morneau</t>
  </si>
  <si>
    <t>George Sherrill</t>
  </si>
  <si>
    <t>Bartolo Colon</t>
  </si>
  <si>
    <t>Jason Varitek</t>
  </si>
  <si>
    <t>David Murphy</t>
  </si>
  <si>
    <t>Chris Iannetta</t>
  </si>
  <si>
    <t>Todd Helton</t>
  </si>
  <si>
    <t>Alex Rios</t>
  </si>
  <si>
    <t>Gerald Laird</t>
  </si>
  <si>
    <t>Curtis Granderson</t>
  </si>
  <si>
    <t>Brian Wilson</t>
  </si>
  <si>
    <t>Jon Lester</t>
  </si>
  <si>
    <t>Brett Myers</t>
  </si>
  <si>
    <t>Bobby Jenks</t>
  </si>
  <si>
    <t>Aaron Harang</t>
  </si>
  <si>
    <t>Mike Lowell</t>
  </si>
  <si>
    <t>Eric Byrnes</t>
  </si>
  <si>
    <t xml:space="preserve">   Transactions</t>
  </si>
  <si>
    <t>Eff Date</t>
  </si>
  <si>
    <t xml:space="preserve"> Team</t>
  </si>
  <si>
    <t>Player</t>
  </si>
  <si>
    <t>POS</t>
  </si>
  <si>
    <t>TM</t>
  </si>
  <si>
    <t>From</t>
  </si>
  <si>
    <t>To</t>
  </si>
  <si>
    <t>Traded</t>
  </si>
  <si>
    <t>to Team</t>
  </si>
  <si>
    <t>Date Made</t>
  </si>
  <si>
    <t>Time Made</t>
  </si>
  <si>
    <t>Jake Peavy</t>
  </si>
  <si>
    <t>act.</t>
  </si>
  <si>
    <t>res.</t>
  </si>
  <si>
    <t>Scott Rolen</t>
  </si>
  <si>
    <t>Nate Robertson</t>
  </si>
  <si>
    <t>Torii Hunter</t>
  </si>
  <si>
    <t>Ryan Dempster</t>
  </si>
  <si>
    <t xml:space="preserve">Jindal's GOP </t>
  </si>
  <si>
    <t xml:space="preserve">RonnieWOOOS </t>
  </si>
  <si>
    <t xml:space="preserve">Boneheads </t>
  </si>
  <si>
    <t xml:space="preserve">Rank  </t>
  </si>
  <si>
    <t xml:space="preserve">Team  </t>
  </si>
  <si>
    <t xml:space="preserve">G  </t>
  </si>
  <si>
    <t xml:space="preserve">AB  </t>
  </si>
  <si>
    <t xml:space="preserve">AVG  </t>
  </si>
  <si>
    <t>OBP</t>
  </si>
  <si>
    <t xml:space="preserve">H  </t>
  </si>
  <si>
    <t xml:space="preserve">2B  </t>
  </si>
  <si>
    <t xml:space="preserve">3B  </t>
  </si>
  <si>
    <t xml:space="preserve">HR  </t>
  </si>
  <si>
    <t xml:space="preserve">RBI  </t>
  </si>
  <si>
    <t xml:space="preserve">BB  </t>
  </si>
  <si>
    <t xml:space="preserve">R  </t>
  </si>
  <si>
    <t xml:space="preserve">SB  </t>
  </si>
  <si>
    <t xml:space="preserve">K  </t>
  </si>
  <si>
    <t>E</t>
  </si>
  <si>
    <t>SLG</t>
  </si>
  <si>
    <t>OPS</t>
  </si>
  <si>
    <t xml:space="preserve"> 1899 Cleveland Spiders  </t>
  </si>
  <si>
    <t xml:space="preserve">SP-G  </t>
  </si>
  <si>
    <t xml:space="preserve">RP-G  </t>
  </si>
  <si>
    <t xml:space="preserve">IP  </t>
  </si>
  <si>
    <t xml:space="preserve">W  </t>
  </si>
  <si>
    <t>Joe Crede</t>
  </si>
  <si>
    <t>Francisco Rodriguez</t>
  </si>
  <si>
    <t>Francisco Liriano</t>
  </si>
  <si>
    <t>Morgan Ensberg</t>
  </si>
  <si>
    <t>Rafael Furcal</t>
  </si>
  <si>
    <t>Chuck</t>
  </si>
  <si>
    <t>Chris Carpenter</t>
  </si>
  <si>
    <t>Joe Nathan</t>
  </si>
  <si>
    <t>Jim Edmonds</t>
  </si>
  <si>
    <t>Freddy Sanchez</t>
  </si>
  <si>
    <t>Andy Pettitte</t>
  </si>
  <si>
    <t>Scott Olsen</t>
  </si>
  <si>
    <t>Bob Wickman</t>
  </si>
  <si>
    <t>Randy Johnson</t>
  </si>
  <si>
    <t>Tadahito Iguchi</t>
  </si>
  <si>
    <t>Kelvim Escobar</t>
  </si>
  <si>
    <t>Marcus Giles</t>
  </si>
  <si>
    <t>Mark Prior</t>
  </si>
  <si>
    <t>Pedro Martinez</t>
  </si>
  <si>
    <t>Adam Dunn</t>
  </si>
  <si>
    <t>Miguel Tejada</t>
  </si>
  <si>
    <t>C</t>
  </si>
  <si>
    <t>LA</t>
  </si>
  <si>
    <t>Dustin McGowan</t>
  </si>
  <si>
    <t>TOR</t>
  </si>
  <si>
    <t>Oliver Perez</t>
  </si>
  <si>
    <t>Alex Rodriguez</t>
  </si>
  <si>
    <t>NYY</t>
  </si>
  <si>
    <t>Lance Berkman</t>
  </si>
  <si>
    <t>1B</t>
  </si>
  <si>
    <t>HOU</t>
  </si>
  <si>
    <t>Kenji Johjima</t>
  </si>
  <si>
    <t>SEA</t>
  </si>
  <si>
    <t>Jeremy Accardo</t>
  </si>
  <si>
    <t>MILLERS</t>
  </si>
  <si>
    <t>Matt Garza</t>
  </si>
  <si>
    <t>MIN</t>
  </si>
  <si>
    <t>BluDevils</t>
  </si>
  <si>
    <t>Fausto Carmona</t>
  </si>
  <si>
    <t>CLE</t>
  </si>
  <si>
    <t>Spiders</t>
  </si>
  <si>
    <t>Matt Holliday</t>
  </si>
  <si>
    <t>COL</t>
  </si>
  <si>
    <t>Paul Konerko</t>
  </si>
  <si>
    <t>CWS</t>
  </si>
  <si>
    <t>Victor Martinez</t>
  </si>
  <si>
    <t>Jose Contreras</t>
  </si>
  <si>
    <t>Gary Matthews Jr.</t>
  </si>
  <si>
    <t>ANA</t>
  </si>
  <si>
    <t>Jose Reyes</t>
  </si>
  <si>
    <t>SS</t>
  </si>
  <si>
    <t>Ty Wigginton</t>
  </si>
  <si>
    <t>Willy Taveras</t>
  </si>
  <si>
    <t>Boneheads</t>
  </si>
  <si>
    <t>Johnny Damon</t>
  </si>
  <si>
    <t>Aaron Rowand</t>
  </si>
  <si>
    <t>PHI</t>
  </si>
  <si>
    <t>Ivan Rodriguez</t>
  </si>
  <si>
    <t>DET</t>
  </si>
  <si>
    <t>Jason Kubel</t>
  </si>
  <si>
    <t>Corey Patterson</t>
  </si>
  <si>
    <t>Ryan Church</t>
  </si>
  <si>
    <t>WAS</t>
  </si>
  <si>
    <t>Justin Verlander</t>
  </si>
  <si>
    <t>Loafers</t>
  </si>
  <si>
    <t>Brian Fuentes</t>
  </si>
  <si>
    <t>Vladimir Guerrero</t>
  </si>
  <si>
    <t>John Smoltz</t>
  </si>
  <si>
    <t>Eric Gagne</t>
  </si>
  <si>
    <t>BOS</t>
  </si>
  <si>
    <t>Jason Bay</t>
  </si>
  <si>
    <t>PIT</t>
  </si>
  <si>
    <t>Jeremy Bonderman</t>
  </si>
  <si>
    <t>WOOS</t>
  </si>
  <si>
    <t>Ray Durham</t>
  </si>
  <si>
    <t>2B</t>
  </si>
  <si>
    <t>Loopers</t>
  </si>
  <si>
    <t>Jose Guillen</t>
  </si>
  <si>
    <t>Coco Crisp</t>
  </si>
  <si>
    <t>Greg Maddux</t>
  </si>
  <si>
    <t>SD</t>
  </si>
  <si>
    <t>Albert Pujols</t>
  </si>
  <si>
    <t>STL</t>
  </si>
  <si>
    <t>Mark Teixeira</t>
  </si>
  <si>
    <t>David Wright</t>
  </si>
  <si>
    <t>John Maine</t>
  </si>
  <si>
    <t>Bobby Abreu</t>
  </si>
  <si>
    <t>Michael Barrett</t>
  </si>
  <si>
    <t>Shannon Stewart</t>
  </si>
  <si>
    <t>OAK</t>
  </si>
  <si>
    <t>Felix Pie</t>
  </si>
  <si>
    <t>CHC</t>
  </si>
  <si>
    <t>Mike Mussina</t>
  </si>
  <si>
    <t>Javier Vazquez</t>
  </si>
  <si>
    <t>Chad Cordero</t>
  </si>
  <si>
    <t>VB Boys</t>
  </si>
  <si>
    <t>Juan Pierre</t>
  </si>
  <si>
    <t>Jose Valverde</t>
  </si>
  <si>
    <t>ARZ</t>
  </si>
  <si>
    <t>Kenny Lofton</t>
  </si>
  <si>
    <t>Akinori Iwamura</t>
  </si>
  <si>
    <t>TB</t>
  </si>
  <si>
    <t>David Weathers</t>
  </si>
  <si>
    <t>CIN</t>
  </si>
  <si>
    <t>Melvin Mora</t>
  </si>
  <si>
    <t>Ft. Collins Boneheads</t>
  </si>
  <si>
    <t>Chris Fryrear</t>
  </si>
  <si>
    <t>The Totally Crushed</t>
  </si>
  <si>
    <t>Ronnie and His Big Unit</t>
  </si>
  <si>
    <t>NC Blue Devils</t>
  </si>
  <si>
    <t>Chicago Geriatrics</t>
  </si>
  <si>
    <t>Ann Arbor Fishwiches</t>
  </si>
  <si>
    <t>Trogdor The Burinator</t>
  </si>
  <si>
    <t>Portlan Gnashers</t>
  </si>
  <si>
    <t>Fort Collins Loafers</t>
  </si>
  <si>
    <t>Bozeman Blue Devils</t>
  </si>
  <si>
    <t xml:space="preserve">Dustin McGowan </t>
  </si>
  <si>
    <t xml:space="preserve">S </t>
  </si>
  <si>
    <t xml:space="preserve">TOR </t>
  </si>
  <si>
    <t xml:space="preserve">Brian Fuentes </t>
  </si>
  <si>
    <t xml:space="preserve">R </t>
  </si>
  <si>
    <t xml:space="preserve">COL </t>
  </si>
  <si>
    <t xml:space="preserve">Russell Martin </t>
  </si>
  <si>
    <t xml:space="preserve">C </t>
  </si>
  <si>
    <t xml:space="preserve">LA </t>
  </si>
  <si>
    <t xml:space="preserve">Chipper Jones </t>
  </si>
  <si>
    <t xml:space="preserve">Carlos Beltran </t>
  </si>
  <si>
    <t xml:space="preserve">NYM </t>
  </si>
  <si>
    <t xml:space="preserve">Chris Young </t>
  </si>
  <si>
    <t xml:space="preserve">SD </t>
  </si>
  <si>
    <t xml:space="preserve">Jeremy Bonderman </t>
  </si>
  <si>
    <t xml:space="preserve">DET </t>
  </si>
  <si>
    <t>Fair - Gnashers - Trogdor</t>
  </si>
  <si>
    <t>Veto - Spiders - BluDevils - WOOS - Loopers - VB Boys</t>
  </si>
  <si>
    <t>FROM</t>
  </si>
  <si>
    <t>PLAYER</t>
  </si>
  <si>
    <t>TO</t>
  </si>
  <si>
    <t>DATE</t>
  </si>
  <si>
    <t>TIME</t>
  </si>
  <si>
    <t xml:space="preserve"> Derek Lowe </t>
  </si>
  <si>
    <t>it up extending their lead to 200 points. However, several big days driven by Woos pitching performances caught Woos up. On the night before the final day of the regular season,</t>
  </si>
  <si>
    <t>Year</t>
  </si>
  <si>
    <t>Hitting Points</t>
  </si>
  <si>
    <t>Pitching Points</t>
  </si>
  <si>
    <t xml:space="preserve">the race for the title was very tight, but this probably is not a coincidence with the installation of the fascist socialist Gnah/Daley Regime ……. Or is it? LOL! Bob Nash rode a solid overall team to his first league title in the draft-era of the league. </t>
  </si>
  <si>
    <t xml:space="preserve">The key point in Bob' season was a massive trade with Robb who acquired Francisco Liriano, wonderkid, for roughly half of his team including Derek Jeter and Eric Bedard among others. </t>
  </si>
  <si>
    <t>Cramer</t>
  </si>
  <si>
    <t>Pilon</t>
  </si>
  <si>
    <t xml:space="preserve">Bozone Bobcats  </t>
  </si>
  <si>
    <t xml:space="preserve">Chicago Loopers </t>
  </si>
  <si>
    <t xml:space="preserve">Américains de Montréal </t>
  </si>
  <si>
    <t xml:space="preserve">WI 4 McCain </t>
  </si>
  <si>
    <t xml:space="preserve">Ft Collins Boneheads </t>
  </si>
  <si>
    <t xml:space="preserve">Chicago Machine </t>
  </si>
  <si>
    <t xml:space="preserve">RONNIE WOOOS!! </t>
  </si>
  <si>
    <t xml:space="preserve">Portland Gnashers </t>
  </si>
  <si>
    <t xml:space="preserve">1899 Cleveland Spiders </t>
  </si>
  <si>
    <t xml:space="preserve">Fort Collins Loafers </t>
  </si>
  <si>
    <t xml:space="preserve">MOLINE MAPLE LEAFS </t>
  </si>
  <si>
    <t xml:space="preserve">Berwyn Bashers </t>
  </si>
  <si>
    <t>TEAM</t>
  </si>
  <si>
    <t>Total FP</t>
  </si>
  <si>
    <t>Hitting FP</t>
  </si>
  <si>
    <t>Pitching FP</t>
  </si>
  <si>
    <t>Dean Mitchel</t>
  </si>
  <si>
    <t>OWNER</t>
  </si>
  <si>
    <t>1620 H  302 P</t>
  </si>
  <si>
    <t>Hitters</t>
  </si>
  <si>
    <t>Pitchers</t>
  </si>
  <si>
    <t>Rank</t>
  </si>
  <si>
    <t>G</t>
  </si>
  <si>
    <t>AB</t>
  </si>
  <si>
    <t>FP</t>
  </si>
  <si>
    <t>FP/G</t>
  </si>
  <si>
    <t>SPG</t>
  </si>
  <si>
    <t>RPG</t>
  </si>
  <si>
    <t>IP</t>
  </si>
  <si>
    <t xml:space="preserve">1899 Cleveland Spiders  </t>
  </si>
  <si>
    <t xml:space="preserve">Bozone Bobcats </t>
  </si>
  <si>
    <t xml:space="preserve">Mehr Bier </t>
  </si>
  <si>
    <t xml:space="preserve">Elf Needs Food Badly! </t>
  </si>
  <si>
    <r>
      <t xml:space="preserve">Notes: </t>
    </r>
    <r>
      <rPr>
        <sz val="10"/>
        <rFont val="Verdana"/>
      </rPr>
      <t>Third year of the league. Erik Berg a good friend of John Vlangos and also elementry and middle school classmate of Robb joined the league in place of Mark Brick</t>
    </r>
  </si>
  <si>
    <t xml:space="preserve">L  </t>
  </si>
  <si>
    <t xml:space="preserve">S  </t>
  </si>
  <si>
    <t xml:space="preserve">BS  </t>
  </si>
  <si>
    <t xml:space="preserve">ER  </t>
  </si>
  <si>
    <t xml:space="preserve">ERA  </t>
  </si>
  <si>
    <t>WHIP</t>
  </si>
  <si>
    <t>K/9</t>
  </si>
  <si>
    <t xml:space="preserve">FP/G  </t>
  </si>
  <si>
    <t xml:space="preserve"> FP</t>
  </si>
  <si>
    <t>Trades:</t>
  </si>
  <si>
    <t>Gnashers</t>
  </si>
  <si>
    <t xml:space="preserve"> Tim Lincecum </t>
  </si>
  <si>
    <t>R</t>
  </si>
  <si>
    <t>SF</t>
  </si>
  <si>
    <t>LEAFS</t>
  </si>
  <si>
    <t>Erik Bedard</t>
  </si>
  <si>
    <t>S</t>
  </si>
  <si>
    <t>BAL</t>
  </si>
  <si>
    <t>Carlos Beltran</t>
  </si>
  <si>
    <t>OF</t>
  </si>
  <si>
    <t>NYM</t>
  </si>
  <si>
    <t>Chipper Jones</t>
  </si>
  <si>
    <t>3B</t>
  </si>
  <si>
    <t>ATL</t>
  </si>
  <si>
    <t>Russell Martin</t>
  </si>
  <si>
    <t xml:space="preserve">But the addiction held for some of us and the CSU league was officially born. </t>
  </si>
  <si>
    <t>from the Padres who scored a nice 11 points securing the win for the Woos by the slimmest of margins.</t>
  </si>
  <si>
    <t>Notable trades of the year included a vetoed trade by Leafs and Gnashers involving Arod, which was</t>
  </si>
  <si>
    <t>eventually reworked and big reason the leafs were able to extend the lead. Woos trade Pujols early in</t>
  </si>
  <si>
    <t xml:space="preserve">August to the Loopers for some offensive depth in Wright, Abreau and Texiera, which was key. </t>
  </si>
  <si>
    <t>J. Vlangos</t>
  </si>
  <si>
    <t>R. Cramer</t>
  </si>
  <si>
    <t>B. Nash</t>
  </si>
  <si>
    <t>D. Betcher</t>
  </si>
  <si>
    <t>J. Daley</t>
  </si>
  <si>
    <t>C. Fryrear</t>
  </si>
  <si>
    <t>J. Bemister</t>
  </si>
  <si>
    <t>R. Berg</t>
  </si>
  <si>
    <t>E. Berg</t>
  </si>
  <si>
    <t>J. Pilon</t>
  </si>
  <si>
    <t>D. Mitchell</t>
  </si>
  <si>
    <t>E. Johnson</t>
  </si>
  <si>
    <t>Average/Year</t>
  </si>
  <si>
    <t>N/A</t>
  </si>
  <si>
    <r>
      <t xml:space="preserve">Notes: </t>
    </r>
    <r>
      <rPr>
        <sz val="10"/>
        <rFont val="Verdana"/>
      </rPr>
      <t>8th season of the CSU league. In an early season coup, Jim Daley and Bob Nash, revolutionary war leaders, stormed the palace of der commish Robb Cramer</t>
    </r>
  </si>
  <si>
    <t>Overthrowing his prosperous and peace loving regime and installing their own computer controlled dictator John Vlangos as commishioner. And oh year, at the all-star break</t>
  </si>
  <si>
    <t>Milwaukee Millers</t>
  </si>
  <si>
    <t>Erik Johnson</t>
  </si>
  <si>
    <t>Longtown Sabers</t>
  </si>
  <si>
    <t>John Pilon</t>
  </si>
  <si>
    <t>Ft. Collins Necrotrophs</t>
  </si>
  <si>
    <t>Moline Maple Leafs</t>
  </si>
  <si>
    <t>Piston Honda's TKOs</t>
  </si>
  <si>
    <t>Milwaukee Young Guns</t>
  </si>
  <si>
    <t>Valley High Cobra Kai</t>
  </si>
  <si>
    <t>Chris Martinez/Danny Smith</t>
  </si>
  <si>
    <t>Pitchers FP/G</t>
  </si>
  <si>
    <t>1899 Cleveland Spiders</t>
  </si>
  <si>
    <t>Jason Bemister</t>
  </si>
  <si>
    <t>Portland Gnashers</t>
  </si>
  <si>
    <t>Flux Capacitors</t>
  </si>
  <si>
    <t>Ft. Collins Loafers</t>
  </si>
  <si>
    <t>Dean Mitchell</t>
  </si>
  <si>
    <t>Winfield Mad Jacks</t>
  </si>
  <si>
    <t>Rob Berg</t>
  </si>
  <si>
    <t>Nashotah Millers</t>
  </si>
  <si>
    <t xml:space="preserve">early in April. I picked him and he proceeded to dominate the first half of the season. I dealt Gagne to Jim Daley for Magglio Ordonez at the All-Star break. </t>
  </si>
  <si>
    <r>
      <t xml:space="preserve">Season Notes: </t>
    </r>
    <r>
      <rPr>
        <sz val="10"/>
        <rFont val="Verdana"/>
      </rPr>
      <t>This finish to this season will go down in league history</t>
    </r>
  </si>
  <si>
    <t xml:space="preserve">as one of the most wackiest. The Leafs and Woos battled most of the </t>
  </si>
  <si>
    <t xml:space="preserve">Trevor Hoffman blows a save for the Woos, who seemingly lose by 11 points. </t>
  </si>
  <si>
    <t>Jim Daley ?</t>
  </si>
  <si>
    <t>Chris Martinez ?</t>
  </si>
  <si>
    <t>Jon Wood ?</t>
  </si>
  <si>
    <t>Mark Brick</t>
  </si>
  <si>
    <t>2nd half for the league title, and with 7 days left, looked like the leafs had wrapped</t>
  </si>
  <si>
    <t>However, a play in game between the Rockies and Padres happens the following</t>
  </si>
  <si>
    <t>day, a game counted as regular season stats by MLB. With 2 starts remaining unfilled,</t>
  </si>
  <si>
    <t>the leafs get Jake Peavy, #1 pitcher in the NL, to start. Woos counters by filling offensive</t>
  </si>
  <si>
    <t>starts with several Padres and one Rockies player from the waiver wire. The Rockies rough</t>
  </si>
  <si>
    <t>Peavy up a bit who gets a ND, but Padres take lead into bottom of 13th inning, and Hoffman</t>
  </si>
  <si>
    <t>blows 2 run lead seemingly ending Woos season. But Woos had picked up RP Heath Bell</t>
  </si>
  <si>
    <t xml:space="preserve">and dominated most of the season becoming the first league winner in the era of prize money. The addition of the prize money to </t>
  </si>
  <si>
    <t xml:space="preserve">the league seemed to help significantly as management was maintained throughout the entire season. This offseason also featured the </t>
  </si>
  <si>
    <t xml:space="preserve">Robb won on the last day of the season when Vlangos sat a Tim Hudson CGSO, 50+ points. </t>
  </si>
  <si>
    <t>please let me know. Statistics and other facts not available. I remember participation was mediocre at best</t>
  </si>
  <si>
    <t xml:space="preserve">and during the summer when everyone went home for the summer people stopped managing their teams. </t>
  </si>
  <si>
    <r>
      <t xml:space="preserve">Notes:  </t>
    </r>
    <r>
      <rPr>
        <sz val="10"/>
        <rFont val="Verdana"/>
      </rPr>
      <t>Second year of the league and first year of the live draft. Expanded to 12 teams. New members included the Clocksin brothers</t>
    </r>
  </si>
  <si>
    <t>Erik Johnson, Robb's big brother from Phi Delta Theta and teammate on Lawrence University Baseball team.</t>
  </si>
  <si>
    <t>Statistics not available, but I remember being down around 500 points at the All-Star break to Vlangos.</t>
  </si>
  <si>
    <t>This was also the year Keepers were first implemented into the league. 4 keepers were selected by each team after the season was over. The season was characterized by the amazing</t>
  </si>
  <si>
    <t xml:space="preserve">first offseason trade in league history with the Ronnie Woos sending AJ Burnett to the Portland Gnashers for Barry Bonds. </t>
  </si>
  <si>
    <r>
      <t xml:space="preserve">Notes: </t>
    </r>
    <r>
      <rPr>
        <sz val="10"/>
        <rFont val="Verdana"/>
      </rPr>
      <t>Fourth year of the league and first with 4 keepers to start the season from the previous season. Draft was a non-snake based on previous years standings. Danny Smith managed the Colorado Waterman for 3/4 of the year</t>
    </r>
  </si>
  <si>
    <r>
      <t xml:space="preserve">Notes: </t>
    </r>
    <r>
      <rPr>
        <sz val="10"/>
        <rFont val="Verdana"/>
      </rPr>
      <t xml:space="preserve">The fifth year of the league and a year of transition for the league. By the start of this year it had become clear that </t>
    </r>
  </si>
  <si>
    <r>
      <t xml:space="preserve">Notes: </t>
    </r>
    <r>
      <rPr>
        <sz val="10"/>
        <rFont val="Verdana"/>
      </rPr>
      <t>The 7th season of the league. Derek Betcher briefly lost the lead to Robb in the middle of August, and despite Robb trading A. Pujols and V. Guerrero, Derek really never looked back</t>
    </r>
  </si>
  <si>
    <t>Kevin Clocksin</t>
  </si>
  <si>
    <t>Ft. Collins Preposterous Propositions</t>
  </si>
  <si>
    <t>Robb Cramer</t>
  </si>
  <si>
    <t>Moline Monarchs</t>
  </si>
  <si>
    <t>Derek Betcher</t>
  </si>
  <si>
    <t>Chicago Vipers</t>
  </si>
  <si>
    <t>Tom Clocksin</t>
  </si>
  <si>
    <t xml:space="preserve">Dean Mitchell, a friend of Robb's from Ft. Collins inherited Danny Smith's Colorado Waterman team which Chris Martinez elected not to retain ownership in. </t>
  </si>
  <si>
    <t xml:space="preserve">Rob Berg, Erik's brother, inherited the Chicago Vipers from Tom Clocksin and Chris Fryrear, a coworker of Robb's at Colorado State, inherited the Colorado Thunder Brothers. </t>
  </si>
  <si>
    <t>At the end of the year, the league decided to reduce the number of keepers to 2, and to keep interest for teams out of the race early in the year,</t>
  </si>
  <si>
    <t xml:space="preserve">added in a prize system where the first 6 places would receive prize money. The league entry fee was set at $30 for the following season. </t>
  </si>
  <si>
    <t xml:space="preserve">but beginning in September he decided to turn his team over, due to a lack of interest in MLB because of selfish players, to Chris Martinez who managed the remainder of </t>
  </si>
  <si>
    <t>the season. One recollection I had from the year was Eric Gagne's amazing breakout season as a closer. Derek drafted him as a SP in the last round of the draft and waived him</t>
  </si>
  <si>
    <t>this was becoming an extremely competitive fantasy league. Owners with a more casual rather then competitive interest such as the Clocksin brothers elected</t>
  </si>
  <si>
    <t>The Wyoming Pokes</t>
  </si>
  <si>
    <t>Ronnie Woos</t>
  </si>
  <si>
    <t>Berwyn Bashers</t>
  </si>
  <si>
    <t>Commodore 64s</t>
  </si>
  <si>
    <t>Chicago Loopers</t>
  </si>
  <si>
    <t>Owners</t>
  </si>
  <si>
    <t>Jeremy ? (Bob's Friend)</t>
  </si>
  <si>
    <t>Team</t>
  </si>
  <si>
    <t>Owner</t>
  </si>
  <si>
    <t>Total Points</t>
  </si>
  <si>
    <t>Hitters FP/G</t>
  </si>
  <si>
    <t>SP FP/G</t>
  </si>
  <si>
    <t>RP FP/G</t>
  </si>
  <si>
    <t>Colorado Thunder Brothers</t>
  </si>
  <si>
    <t>Bobb Cramer</t>
  </si>
  <si>
    <t>All-Star Break Points</t>
  </si>
  <si>
    <t>South Side Gnashers</t>
  </si>
  <si>
    <t>Bob Nash</t>
  </si>
  <si>
    <t>Colorado Waterman</t>
  </si>
  <si>
    <t>Danny Smith</t>
  </si>
  <si>
    <t>1.21 Gigawatts</t>
  </si>
  <si>
    <t>Jim Daley</t>
  </si>
  <si>
    <t>Wheaton Police</t>
  </si>
  <si>
    <t>Erik Berg</t>
  </si>
  <si>
    <t>Wheaton Ronnie Woos</t>
  </si>
  <si>
    <t>John Vlangos</t>
  </si>
  <si>
    <t>Chicago Thumpers</t>
  </si>
  <si>
    <t>was Bob Nash. If anyone else has a better recollection of some of the original 10 owners</t>
  </si>
  <si>
    <t>Tom was Robb's first pitching coach and a friend of Robb's Dad. They own a printing company in Chicago and live in Kankakee.</t>
  </si>
  <si>
    <t xml:space="preserve">Mark Brick was Robb's MS Co-thesis advisor at CSU and Danny Smith was also a professor in the same department. </t>
  </si>
  <si>
    <t>Chuck the Plant</t>
  </si>
  <si>
    <t>Van Buren Boys</t>
  </si>
  <si>
    <t>Ronnie Woos!!</t>
  </si>
  <si>
    <t xml:space="preserve">Non-used hitter and pitcher games would also be adjusted to final point totals to determine draft order the following season. </t>
  </si>
  <si>
    <r>
      <t xml:space="preserve">Notes: </t>
    </r>
    <r>
      <rPr>
        <sz val="10"/>
        <rFont val="Verdana"/>
      </rPr>
      <t>The 6th year of the league and first with all 12 returning owners. Original owner John Vlangos rode unbelievable pitching to his first league title.</t>
    </r>
  </si>
  <si>
    <t xml:space="preserve">to give up ownership of their teams. Jason Bemister, a friend of John Vlangos and T-pitch teammate of Robb, inherited a nice set of keepers </t>
  </si>
  <si>
    <t xml:space="preserve">including Barry Bonds and Mike Mussina from Kevin Clocksin and along with Esteban Loaiza and some nice trades became the only "rookie" to win the league title. </t>
  </si>
  <si>
    <t xml:space="preserve">John Pilon joined the league and was a Ph.D. researcher in Robb's MS thesis lab. Derek Betcher joined on invitation from Bob Nash. </t>
  </si>
  <si>
    <t xml:space="preserve">They were childhood friends I believe from Geneseo Illinois. </t>
  </si>
  <si>
    <t>NA</t>
    <phoneticPr fontId="0" type="noConversion"/>
  </si>
  <si>
    <t>C. Martinez</t>
    <phoneticPr fontId="0" type="noConversion"/>
  </si>
  <si>
    <t xml:space="preserve">Rookie breakouts of Albert Pujols, Mark Mulder, Mark Buerhle, and Ichiro Suzuki to name a few, all of whom were on the Colorado Thunder Brothers.  </t>
  </si>
  <si>
    <r>
      <t xml:space="preserve">Notes: </t>
    </r>
    <r>
      <rPr>
        <sz val="10"/>
        <rFont val="Verdana"/>
      </rPr>
      <t>First year of the league started by Robb Cramer. I cannot recall the original name of the league. Draft was computer automated, league winner</t>
    </r>
  </si>
  <si>
    <t>Urine Your'e out</t>
  </si>
  <si>
    <t>Chris martinez</t>
  </si>
  <si>
    <t>Bozeman L'Espresso Messo</t>
  </si>
  <si>
    <t>Nashotah Miller</t>
  </si>
  <si>
    <t>Revenant Expansion team</t>
  </si>
  <si>
    <t>Dan Caveney</t>
  </si>
  <si>
    <t>Chicago Swagger</t>
  </si>
  <si>
    <t>Colorado Crush</t>
  </si>
  <si>
    <t>There is no dana only Zuul</t>
  </si>
  <si>
    <t>Chicago Gangstas</t>
  </si>
  <si>
    <t>Erik berg</t>
  </si>
  <si>
    <t>Seattle</t>
  </si>
  <si>
    <t>Eric Tarcha</t>
  </si>
  <si>
    <t>Standings - Points - Hitting</t>
  </si>
  <si>
    <t>FPts</t>
  </si>
  <si>
    <t>SO</t>
  </si>
  <si>
    <t>CS</t>
  </si>
  <si>
    <t>Cyc</t>
  </si>
  <si>
    <t>HBP</t>
  </si>
  <si>
    <t>SH</t>
  </si>
  <si>
    <t>GIDP</t>
  </si>
  <si>
    <t>Chicagao Swagger</t>
  </si>
  <si>
    <t>Revenant Expansion Team</t>
  </si>
  <si>
    <t>There Is No Dana, Only Zuul</t>
  </si>
  <si>
    <t>Urine, You're Out!!</t>
  </si>
  <si>
    <t>Ronnie WOOOS</t>
  </si>
  <si>
    <t>Standings - Points - Pitching</t>
  </si>
  <si>
    <t>CG</t>
  </si>
  <si>
    <t>ShO</t>
  </si>
  <si>
    <t>Sv</t>
  </si>
  <si>
    <t>NH</t>
  </si>
  <si>
    <t>PG</t>
  </si>
  <si>
    <t>WP</t>
  </si>
  <si>
    <t>HB</t>
  </si>
  <si>
    <t>Bk</t>
  </si>
  <si>
    <t>Trades</t>
  </si>
  <si>
    <t>Date Processed</t>
  </si>
  <si>
    <t># Obj</t>
  </si>
  <si>
    <t>Result</t>
  </si>
  <si>
    <t>Period</t>
  </si>
  <si>
    <t>Wed Aug 17, 2011, 3:00AM</t>
  </si>
  <si>
    <t>2012 Draft Pick, Round 10 (Seattle)</t>
  </si>
  <si>
    <t xml:space="preserve"> Executed</t>
  </si>
  <si>
    <t>2012 Draft Pick, Round 8 (Portland Gnashers)</t>
  </si>
  <si>
    <t>Storen, Drew RP - WAS</t>
  </si>
  <si>
    <t>Carpenter, Chris SP - STL</t>
  </si>
  <si>
    <t>Mon Aug 15, 2011, 3:00AM</t>
  </si>
  <si>
    <t>2012 Draft Pick, Round 9 (There Is No Dana, Only Zuul)</t>
  </si>
  <si>
    <t>2012 Draft Pick, Round 7 (Portland Gnashers)</t>
  </si>
  <si>
    <t>Lilly, Ted SP - LAD</t>
  </si>
  <si>
    <t>Cueto, Johnny SP - CIN</t>
  </si>
  <si>
    <t>Putz, J.J. RP - ARI</t>
  </si>
  <si>
    <t>Joyce, Matt OF - TB</t>
  </si>
  <si>
    <t>Sun Aug 14, 2011, 3:00AM</t>
  </si>
  <si>
    <t>2012 Draft Pick, Round 10 (Portland Gnashers)</t>
  </si>
  <si>
    <t>2012 Draft Pick, Round 18 (Ronnie WOOOS)</t>
  </si>
  <si>
    <t>Walker, Neil 2B,3B - PIT</t>
  </si>
  <si>
    <t>Santana, Ervin SP - LAA</t>
  </si>
  <si>
    <t>Sat Aug 13, 2011, 3:00AM</t>
  </si>
  <si>
    <t>Montero, Miguel C - ARI</t>
  </si>
  <si>
    <t>Wells, Vernon OF - LAA</t>
  </si>
  <si>
    <t>Ramos, Wilson C - WAS</t>
  </si>
  <si>
    <t>McCutchen, Andrew OF - PIT</t>
  </si>
  <si>
    <t>Marcum, Shaun SP - MIL</t>
  </si>
  <si>
    <t>Luebke, Cory SP,RP - SD</t>
  </si>
  <si>
    <t>Bruce, Jay OF - CIN</t>
  </si>
  <si>
    <t>Morse, Michael 1B,OF - WAS</t>
  </si>
  <si>
    <t>Thu Jul 28, 2011, 3:00AM</t>
  </si>
  <si>
    <t>2012 Draft Pick, Round 7 (Chicagao Swagger)</t>
  </si>
  <si>
    <t>Bailey, Andrew RP - OAK</t>
  </si>
  <si>
    <t>Gonzalez, Gio SP - OAK</t>
  </si>
  <si>
    <t>2012 Draft Pick, Round 5 (Portland Gnashers)</t>
  </si>
  <si>
    <t>Mon Jul 18, 2011, 3:00AM</t>
  </si>
  <si>
    <t>2012 Draft Pick, Round 12 (Ronnie WOOOS)</t>
  </si>
  <si>
    <t>Parnell, Bobby RP - NYM</t>
  </si>
  <si>
    <t>Damon, Johnny OF - TB</t>
  </si>
  <si>
    <t>2012 Draft Pick, Round 3 (Portland Gnashers)</t>
  </si>
  <si>
    <t>Crawford, Carl OF - BOS</t>
  </si>
  <si>
    <t>Sat Jul 16, 2011, 3:00AM</t>
  </si>
  <si>
    <t>Aybar, Erick SS - LAA</t>
  </si>
  <si>
    <t>Buchholz, Clay SP - BOS</t>
  </si>
  <si>
    <t>2012 Draft Pick, Round 3 (Bozeman L'Espresso Messo)</t>
  </si>
  <si>
    <t>Cabrera, Miguel 1B - DET</t>
  </si>
  <si>
    <t>Beltran, Carlos OF - NYM/SF</t>
  </si>
  <si>
    <t>Ramirez, Alexei SS - CHW</t>
  </si>
  <si>
    <t>Smith, Seth OF - COL</t>
  </si>
  <si>
    <t>Hafner, Travis UT - CLE</t>
  </si>
  <si>
    <t>Sabathia, CC SP - NYY</t>
  </si>
  <si>
    <t>2012 Draft Pick, Round 13 (Chicagao Swagger)</t>
  </si>
  <si>
    <t>Fri Jul 8, 2011, 3:00AM</t>
  </si>
  <si>
    <t>Hardy, J.J. SS - BAL</t>
  </si>
  <si>
    <t>2012 Draft Pick, Round 9 (Urine, You're Out!!)</t>
  </si>
  <si>
    <t>Theriot, Ryan 2B,SS - STL</t>
  </si>
  <si>
    <t>2012 Draft Pick, Round 19 (There Is No Dana, Only Zuul)</t>
  </si>
  <si>
    <t>Thu Jul 7, 2011, 3:00AM</t>
  </si>
  <si>
    <t>Chisenhall, Lonnie 3B - CLE</t>
  </si>
  <si>
    <t>Pagan, Angel OF - NYM</t>
  </si>
  <si>
    <t>Melancon, Mark RP - HOU</t>
  </si>
  <si>
    <t>2012 Draft Pick, Round 22 (Ronnie WOOOS)</t>
  </si>
  <si>
    <t>Rolen, Scott 3B - CIN</t>
  </si>
  <si>
    <t>Capps, Matt RP - MIN</t>
  </si>
  <si>
    <t>Kimbrel, Craig RP - ATL</t>
  </si>
  <si>
    <t>2012 Draft Pick, Round 6 (Urine, You're Out!!)</t>
  </si>
  <si>
    <t>Tue Jul 5, 2011, 3:00AM</t>
  </si>
  <si>
    <t>Young, Chris OF - ARI</t>
  </si>
  <si>
    <t>2012 Draft Pick, Round 7 (Revenant Expansion Team)</t>
  </si>
  <si>
    <t>Escobar, Alcides SS,OF - KC</t>
  </si>
  <si>
    <t>2012 Draft Pick, Round 22 (There Is No Dana, Only Zuul)</t>
  </si>
  <si>
    <t>Mon Jun 27, 2011, 3:00AM</t>
  </si>
  <si>
    <t>Ortiz, David UT - BOS</t>
  </si>
  <si>
    <t>2012 Draft Pick, Round 22 (Chicago Gangstas)</t>
  </si>
  <si>
    <t>2012 Draft Pick, Round 3 (Nashotah Millers)</t>
  </si>
  <si>
    <t>Arencibia, J.P. C - TOR</t>
  </si>
  <si>
    <t>Sun Jun 26, 2011, 3:00AM</t>
  </si>
  <si>
    <t>Hellickson, Jeremy SP,RP - TB</t>
  </si>
  <si>
    <t>Suzuki, Ichiro OF - SEA</t>
  </si>
  <si>
    <t>Holliday, Matt OF - STL</t>
  </si>
  <si>
    <t>2012 Draft Pick, Round 2 (Bozeman L'Espresso Messo)</t>
  </si>
  <si>
    <t>2012 Draft Pick, Round 4 (Ronnie WOOOS)</t>
  </si>
  <si>
    <t>Beckham, Gordon 2B - CHW</t>
  </si>
  <si>
    <t>Greinke, Zack SP - MIL</t>
  </si>
  <si>
    <t>Halladay, Roy SP - PHI</t>
  </si>
  <si>
    <t>Lucroy, Jonathan C - MIL</t>
  </si>
  <si>
    <t>Berkman, Lance 1B,OF - STL</t>
  </si>
  <si>
    <t>Tabata, Jose OF - PIT</t>
  </si>
  <si>
    <t>Avila, Alex C - DET</t>
  </si>
  <si>
    <t>Chacin, Jhoulys SP,RP - COL</t>
  </si>
  <si>
    <t>Sat Jun 25, 2011, 3:00AM</t>
  </si>
  <si>
    <t>Sanchez, Jonathan SP - SF</t>
  </si>
  <si>
    <t>Rasmus, Colby OF - STL/TOR</t>
  </si>
  <si>
    <t>Jurrjens, Jair SP - ATL</t>
  </si>
  <si>
    <t>Gonzalez, Adrian 1B - BOS</t>
  </si>
  <si>
    <t>Granderson, Curtis OF - NYY</t>
  </si>
  <si>
    <t>Francoeur, Jeff OF - KC</t>
  </si>
  <si>
    <t>Ogando, Alexi SP,RP - TEX</t>
  </si>
  <si>
    <t>Fri Jun 24, 2011, 3:00AM</t>
  </si>
  <si>
    <t>Pierre, Juan OF - CHW</t>
  </si>
  <si>
    <t>Schafer, Jordan OF - ATL/HOU</t>
  </si>
  <si>
    <t>Lind, Adam 1B,OF - TOR</t>
  </si>
  <si>
    <t>Hamilton, Josh OF - TEX</t>
  </si>
  <si>
    <t>Pujols, Albert 1B,3B - STL</t>
  </si>
  <si>
    <t>Young, Michael 1B,2B,3B - TEX</t>
  </si>
  <si>
    <t>Price, David SP - TB</t>
  </si>
  <si>
    <t>Youkilis, Kevin 1B,3B - BOS</t>
  </si>
  <si>
    <t>Britton, Zach SP - BAL</t>
  </si>
  <si>
    <t>Werth, Jayson OF - WAS</t>
  </si>
  <si>
    <t>Ramirez, Hanley SS - MIA</t>
  </si>
  <si>
    <t>Fri Jun 10, 2011, 3:00AM</t>
  </si>
  <si>
    <t>Jones, Chipper 3B - ATL</t>
  </si>
  <si>
    <t>Wieters, Matt C - BAL</t>
  </si>
  <si>
    <t>Sun May 29, 2011, 3:00AM</t>
  </si>
  <si>
    <t>Quentin, Carlos OF - CHW</t>
  </si>
  <si>
    <t>Bumgarner, Madison SP - SF</t>
  </si>
  <si>
    <t>Fri May 20, 2011, 3:00AM</t>
  </si>
  <si>
    <t>Helton, Todd 1B - COL</t>
  </si>
  <si>
    <t>Derek Jeter Gift Baskets</t>
  </si>
  <si>
    <t>Washington U.L's</t>
  </si>
  <si>
    <t>Cranky Greinkes</t>
  </si>
  <si>
    <t>Samardzjia's Mullet</t>
  </si>
  <si>
    <t>Swinging for Steel</t>
  </si>
  <si>
    <t>Urine, you're Out</t>
  </si>
  <si>
    <t>Chris Martinez</t>
  </si>
  <si>
    <t xml:space="preserve">German Red Sox </t>
  </si>
  <si>
    <t>Sven Willger</t>
  </si>
  <si>
    <r>
      <t xml:space="preserve">League Notes: </t>
    </r>
    <r>
      <rPr>
        <sz val="10"/>
        <rFont val="Verdana"/>
      </rPr>
      <t xml:space="preserve">Sven Willger joined the league in replace of Chris Fryrear. Bob pulled away from Jim with a late season Kris Medlen led surge. </t>
    </r>
  </si>
  <si>
    <t>Washington U.L.'s</t>
  </si>
  <si>
    <t>Samardzija's Mullet</t>
  </si>
  <si>
    <t>German Red Sox</t>
  </si>
  <si>
    <t>Sat Aug 18, 2012, 3:00AM</t>
  </si>
  <si>
    <t>Howard, Ryan 1B,INF - PHI</t>
  </si>
  <si>
    <t>Ciriaco, Pedro 2B,3B,SS,INF,OF - BOS</t>
  </si>
  <si>
    <t>Burnett, A.J. SP - PIT</t>
  </si>
  <si>
    <t>2013 Draft Pick, Round 11 (Ronnie WOOOS)</t>
  </si>
  <si>
    <t>Beckett, Josh SP - BOS/LAD</t>
  </si>
  <si>
    <t>Beltran, Carlos OF - STL</t>
  </si>
  <si>
    <t>2013 Draft Pick, Round 3 (Cranky Greinkes)</t>
  </si>
  <si>
    <t>Ramirez, Hanley 3B,SS,INF - MIA/LAD</t>
  </si>
  <si>
    <t>Sun Aug 12, 2012, 3:00AM</t>
  </si>
  <si>
    <t>Lee, Cliff SP - PHI</t>
  </si>
  <si>
    <t>2013 Draft Pick, Round 6 (Colorado Crush)</t>
  </si>
  <si>
    <t>Pierre, Juan OF - PHI</t>
  </si>
  <si>
    <t>2013 Draft Pick, Round 2 (Portland Gnashers)</t>
  </si>
  <si>
    <t>Liriano, Francisco SP,RP - MIN/CHW</t>
  </si>
  <si>
    <t>McCann, Brian C - ATL</t>
  </si>
  <si>
    <t>Fri Aug 10, 2012, 3:00AM</t>
  </si>
  <si>
    <t>2013 Draft Pick, Round 12 (Urine, You're Out!!)</t>
  </si>
  <si>
    <t>2013 Draft Pick, Round 7 (Portland Gnashers)</t>
  </si>
  <si>
    <t>Molina, Yadier C - STL</t>
  </si>
  <si>
    <t>Thu Aug 9, 2012, 3:00AM</t>
  </si>
  <si>
    <t>Wright, David 3B,INF - NYM</t>
  </si>
  <si>
    <t>Gordon, Alex 1B,INF,OF - KC</t>
  </si>
  <si>
    <t>Ramirez, Aramis 3B,INF - MIL</t>
  </si>
  <si>
    <t>Dickey, R.A. SP - NYM</t>
  </si>
  <si>
    <t>Tue Jul 31, 2012, 3:00AM</t>
  </si>
  <si>
    <t>Darvish, Yu SP - TEX</t>
  </si>
  <si>
    <t>McDonald, James SP - PIT</t>
  </si>
  <si>
    <t>Sandoval, Pablo 1B,3B,INF - SF</t>
  </si>
  <si>
    <t>Espinosa, Danny 2B,SS,INF - WAS</t>
  </si>
  <si>
    <t>Fielder, Prince 1B,INF - DET</t>
  </si>
  <si>
    <t>Niese, Jonathon SP - NYM</t>
  </si>
  <si>
    <t>Santana, Carlos C,1B,INF - CLE</t>
  </si>
  <si>
    <t>Zimmerman, Ryan 3B,INF - WAS</t>
  </si>
  <si>
    <t>Sun Jul 29, 2012, 3:00AM</t>
  </si>
  <si>
    <t>Wilson, C.J. SP - LAA</t>
  </si>
  <si>
    <t>Choo, Shin-Soo OF - CLE</t>
  </si>
  <si>
    <t>2013 Draft Pick, Round 3 (Derek Jeter Gift Baskets)</t>
  </si>
  <si>
    <t>Hosmer, Eric 1B,INF - KC</t>
  </si>
  <si>
    <t>Hart, Corey 1B,INF,OF - MIL</t>
  </si>
  <si>
    <t>Alvarez, Pedro 3B,INF - PIT</t>
  </si>
  <si>
    <t>Ellsbury, Jacoby OF - BOS</t>
  </si>
  <si>
    <t>Strasburg, Stephen SP - WAS</t>
  </si>
  <si>
    <t>2013 Draft Pick, Round 12 (Chicago Swagger)</t>
  </si>
  <si>
    <t>Tue Jul 24, 2012, 3:00AM</t>
  </si>
  <si>
    <t>Weeks, Rickie 2B,INF - MIL</t>
  </si>
  <si>
    <t>Cozart, Zack SS,INF - CIN</t>
  </si>
  <si>
    <t>2013 Draft Pick, Round 5 (Cranky Greinkes)</t>
  </si>
  <si>
    <t>Victorino, Shane OF - PHI/LAD</t>
  </si>
  <si>
    <t>2013 Draft Pick, Round 15 (Urine, You're Out!!)</t>
  </si>
  <si>
    <t>Freeman, Freddie 1B,INF - ATL</t>
  </si>
  <si>
    <t>Sat Jul 21, 2012, 3:00AM</t>
  </si>
  <si>
    <t>Crawford, Carl OF - BOS/LAD</t>
  </si>
  <si>
    <t>Lincecum, Tim SP - SF</t>
  </si>
  <si>
    <t>Wed Jul 18, 2012, 3:00AM</t>
  </si>
  <si>
    <t>2013 Draft Pick, Round 4 (Portland Gnashers)</t>
  </si>
  <si>
    <t>Casilla, Santiago RP - SF</t>
  </si>
  <si>
    <t>Bonifacio, Emilio 2B,3B,SS,INF,OF - MIA</t>
  </si>
  <si>
    <t>Aviles, Mike 2B,3B,SS,INF,OF - BOS</t>
  </si>
  <si>
    <t>Zobrist, Ben 2B,SS,INF,OF - TB</t>
  </si>
  <si>
    <t>2013 Draft Pick, Round 7 (German Red Sox)</t>
  </si>
  <si>
    <t xml:space="preserve">Sun Jul 15, 2012, 11:05PM  </t>
  </si>
  <si>
    <t>2013 Draft Pick, Round 7 (Samardzija's Mullet)</t>
  </si>
  <si>
    <t>2013 Draft Pick, Round 5 (Portland Gnashers)</t>
  </si>
  <si>
    <t>Mon Jul 16, 2012, 3:00AM</t>
  </si>
  <si>
    <t>Youkilis, Kevin 1B,3B,INF - BOS/CHW</t>
  </si>
  <si>
    <t>Longoria, Evan 3B,INF - TB</t>
  </si>
  <si>
    <t>Broxton, Jonathan RP - KC/CIN</t>
  </si>
  <si>
    <t>Bell, Heath RP - MIA</t>
  </si>
  <si>
    <t>Thu Jul 5, 2012, 3:00AM</t>
  </si>
  <si>
    <t>Hudson, Tim SP - ATL</t>
  </si>
  <si>
    <t>Haren, Dan SP - LAA</t>
  </si>
  <si>
    <t>Berkman, Lance 1B,INF,OF - STL</t>
  </si>
  <si>
    <t>Lee, Carlos 1B,INF,OF - HOU/MIA</t>
  </si>
  <si>
    <t>2013 Draft Pick, Round 8 (Chicago Swagger)</t>
  </si>
  <si>
    <t>Wainwright, Adam SP - STL</t>
  </si>
  <si>
    <t>Nathan, Joe RP - TEX</t>
  </si>
  <si>
    <t>2013 Draft Pick, Round 5 (Derek Jeter Gift Baskets)</t>
  </si>
  <si>
    <t>Mon Jul 2, 2012, 3:00AM</t>
  </si>
  <si>
    <t>Tulowitzki, Troy SS,INF - COL</t>
  </si>
  <si>
    <t>Bourn, Michael OF - ATL</t>
  </si>
  <si>
    <t>2013 Draft Pick, Round 2 (Colorado Crush)</t>
  </si>
  <si>
    <t>Doubront, Felix SP,RP - BOS</t>
  </si>
  <si>
    <t>Parra, Gerardo OF - ARI</t>
  </si>
  <si>
    <t>Konerko, Paul 1B,INF - CHW</t>
  </si>
  <si>
    <t>2013 Draft Pick, Round 10 (Urine, You're Out!!)</t>
  </si>
  <si>
    <t>Wed Jun 20, 2012, 3:00AM</t>
  </si>
  <si>
    <t>2013 Draft Pick, Round 15 (Nashotah Millers)</t>
  </si>
  <si>
    <t>2013 Draft Pick, Round 4 (Cranky Greinkes)</t>
  </si>
  <si>
    <t>Fowler, Dexter OF - COL</t>
  </si>
  <si>
    <t>Pettitte, Andy SP - NYY</t>
  </si>
  <si>
    <t>Hernandez, Felix SP - SEA</t>
  </si>
  <si>
    <t>Morneau, Justin 1B,INF - MIN</t>
  </si>
  <si>
    <t>Cruz, Nelson OF - TEX</t>
  </si>
  <si>
    <t>Willingham, Josh OF - MIN</t>
  </si>
  <si>
    <t>Sat Jun 16, 2012, 3:00AM</t>
  </si>
  <si>
    <t>Gonzalez, Adrian 1B,INF,OF - BOS/LAD</t>
  </si>
  <si>
    <t>Soriano, Rafael RP - NYY</t>
  </si>
  <si>
    <t>Thu Jun 14, 2012, 3:00AM</t>
  </si>
  <si>
    <t>Cabrera, Asdrubal 2B,SS,INF - CLE</t>
  </si>
  <si>
    <t xml:space="preserve">Sat May 26, 2012, 3:00AM  </t>
  </si>
  <si>
    <t>Cishek, Steve RP - MIA</t>
  </si>
  <si>
    <t>Hughes, Phil SP - NYY</t>
  </si>
  <si>
    <t>Perez, Chris RP - CLE</t>
  </si>
  <si>
    <t>Sun May 13, 2012, 3:00AM</t>
  </si>
  <si>
    <t>Kuroda, Hiroki SP - NYY</t>
  </si>
  <si>
    <t>Jansen, Kenley RP - LAD</t>
  </si>
  <si>
    <t>Sun May 6, 2012, 3:00AM</t>
  </si>
  <si>
    <t>Furcal, Rafael SS,INF - STL</t>
  </si>
  <si>
    <t>Ramirez, Alexei SS,INF - CHW</t>
  </si>
  <si>
    <t>Milone, Tommy SP - OAK</t>
  </si>
  <si>
    <t>Worley, Vance SP - PHI</t>
  </si>
  <si>
    <t>NA</t>
  </si>
  <si>
    <r>
      <t xml:space="preserve">League Notes: </t>
    </r>
    <r>
      <rPr>
        <sz val="10"/>
        <rFont val="Verdana"/>
      </rPr>
      <t xml:space="preserve">Our first year at Fantrax. Draft pick trades are initiated. Dan Caveney replaced Jason Bemister, Eric Tarcha replaced Dean Mitchell as owners. Hitting continued to drop and Chris Martinez rode tremendous pitching to his first league title. </t>
    </r>
  </si>
  <si>
    <t>Robbie Moy</t>
  </si>
  <si>
    <t>GP</t>
  </si>
  <si>
    <t>Chris Davis K's</t>
  </si>
  <si>
    <t>The Great Colorado FLOOD 2013</t>
  </si>
  <si>
    <t>Cap Anson's Colts</t>
  </si>
  <si>
    <t>The Loners, Dottie, The Rebels</t>
  </si>
  <si>
    <t>El Hombre</t>
  </si>
  <si>
    <t>Chris Davis K's again</t>
  </si>
  <si>
    <t>Taking the Parrot for a Walk</t>
  </si>
  <si>
    <t>Yu Kidding Me, Right?</t>
  </si>
  <si>
    <t>Oconomowoc Millers</t>
  </si>
  <si>
    <t>Soler Power</t>
  </si>
  <si>
    <t>I Did It All For The Mookie</t>
  </si>
  <si>
    <t>Spitting Minions</t>
  </si>
  <si>
    <t>Don't mess with the bull</t>
  </si>
  <si>
    <t>XXXXX</t>
  </si>
  <si>
    <t>Klubot 5000</t>
  </si>
  <si>
    <t>Hit</t>
  </si>
  <si>
    <t>Pit</t>
  </si>
  <si>
    <t>WW</t>
  </si>
  <si>
    <t>PBL</t>
  </si>
  <si>
    <t>Seattle Steelhead</t>
  </si>
  <si>
    <t>Mad Mad Minions</t>
  </si>
  <si>
    <t>The NeverEnding Trevor Story</t>
  </si>
  <si>
    <t>The Mamas and Milt Pappas</t>
  </si>
  <si>
    <t>Hakuna Matata</t>
  </si>
  <si>
    <t>Yusei...I only hear what I want to</t>
  </si>
  <si>
    <t>Hampshire Millers</t>
  </si>
  <si>
    <t>Going, Going, Gonzaga</t>
  </si>
  <si>
    <t>Hector Villanueva Fan Club</t>
  </si>
  <si>
    <t>The Alamo Basements</t>
  </si>
  <si>
    <t>Fort Collins Micro-Brewers</t>
  </si>
  <si>
    <t>Dee's Nuts</t>
  </si>
  <si>
    <t>Edmund Madison Muskies</t>
  </si>
  <si>
    <t>Hakuna Machado</t>
  </si>
  <si>
    <t>Daddy Schwarbucks</t>
  </si>
  <si>
    <t>Goodbye, Pork I Had</t>
  </si>
  <si>
    <t>Rusty Kuntz FanClub</t>
  </si>
  <si>
    <t>Receptionist: Unhappy Medium</t>
  </si>
  <si>
    <t>Thor-Nados</t>
  </si>
  <si>
    <t>Doolittle Raid</t>
  </si>
  <si>
    <t>The HAPPening</t>
  </si>
  <si>
    <t>Steve Avery and Me</t>
  </si>
  <si>
    <t>The Jesus Lizard</t>
  </si>
  <si>
    <t>Goldschmidt Happens</t>
  </si>
  <si>
    <t>**COVID SEASON</t>
  </si>
  <si>
    <t>Hakuna Moncada</t>
  </si>
  <si>
    <t>Merkle's Boner</t>
  </si>
  <si>
    <t>Erik Berg is 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</si>
</sst>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5" x14ac:knownFonts="1">
    <font>
      <sz val="10"/>
      <name val="Verdana"/>
    </font>
    <font>
      <b/>
      <sz val="10"/>
      <name val="Verdana"/>
    </font>
    <font>
      <sz val="10"/>
      <name val="Verdana"/>
    </font>
    <font>
      <u/>
      <sz val="10"/>
      <color indexed="12"/>
      <name val="Verdana"/>
    </font>
    <font>
      <sz val="14"/>
      <name val="Verdana"/>
    </font>
    <font>
      <b/>
      <shadow/>
      <sz val="10"/>
      <name val="Verdana"/>
    </font>
    <font>
      <b/>
      <shadow/>
      <sz val="12"/>
      <name val="Verdana"/>
    </font>
    <font>
      <b/>
      <sz val="11"/>
      <name val="Arial"/>
      <family val="2"/>
    </font>
    <font>
      <b/>
      <sz val="10"/>
      <name val="Verdana"/>
    </font>
    <font>
      <sz val="10"/>
      <name val="Verdana"/>
    </font>
    <font>
      <b/>
      <sz val="12"/>
      <color indexed="13"/>
      <name val="Verdana"/>
      <family val="2"/>
    </font>
    <font>
      <sz val="12"/>
      <color indexed="13"/>
      <name val="Verdana"/>
      <family val="2"/>
    </font>
    <font>
      <b/>
      <sz val="12"/>
      <name val="Verdana"/>
    </font>
    <font>
      <b/>
      <sz val="10"/>
      <name val="Arial"/>
      <family val="2"/>
    </font>
    <font>
      <sz val="11"/>
      <color indexed="8"/>
      <name val="Calibri"/>
      <family val="2"/>
    </font>
    <font>
      <b/>
      <sz val="11"/>
      <color indexed="8"/>
      <name val="Calibri"/>
      <family val="2"/>
    </font>
    <font>
      <sz val="8"/>
      <name val="Verdana"/>
    </font>
    <font>
      <sz val="10"/>
      <name val="Arial"/>
    </font>
    <font>
      <b/>
      <sz val="12"/>
      <color indexed="8"/>
      <name val="Calibri"/>
      <family val="2"/>
    </font>
    <font>
      <sz val="12"/>
      <color indexed="8"/>
      <name val="Calibri"/>
      <family val="2"/>
    </font>
    <font>
      <b/>
      <sz val="14"/>
      <name val="Verdana"/>
    </font>
    <font>
      <sz val="16"/>
      <name val="Verdana"/>
    </font>
    <font>
      <b/>
      <sz val="16"/>
      <name val="Verdana"/>
    </font>
    <font>
      <sz val="12"/>
      <name val="Verdana"/>
    </font>
    <font>
      <sz val="10"/>
      <color indexed="72"/>
      <name val="Verdana"/>
    </font>
    <font>
      <sz val="12"/>
      <color rgb="FF222222"/>
      <name val="Arial"/>
    </font>
    <font>
      <b/>
      <sz val="12"/>
      <color rgb="FF222222"/>
      <name val="Arial"/>
    </font>
    <font>
      <b/>
      <sz val="14"/>
      <color theme="1"/>
      <name val="Arial"/>
    </font>
    <font>
      <b/>
      <u/>
      <sz val="14"/>
      <color theme="1"/>
      <name val="Verdana"/>
    </font>
    <font>
      <b/>
      <sz val="14"/>
      <color theme="1"/>
      <name val="Verdana"/>
    </font>
    <font>
      <b/>
      <u/>
      <sz val="14"/>
      <color theme="1"/>
      <name val="Cambria"/>
      <scheme val="major"/>
    </font>
    <font>
      <b/>
      <sz val="14"/>
      <color theme="1"/>
      <name val="Cambria"/>
      <scheme val="major"/>
    </font>
    <font>
      <b/>
      <sz val="14"/>
      <name val="Verdana"/>
      <family val="2"/>
    </font>
    <font>
      <sz val="14"/>
      <name val="Verdana"/>
      <family val="2"/>
    </font>
    <font>
      <b/>
      <sz val="14"/>
      <color theme="1"/>
      <name val="Cambria"/>
      <family val="1"/>
      <scheme val="major"/>
    </font>
  </fonts>
  <fills count="21">
    <fill>
      <patternFill patternType="none"/>
    </fill>
    <fill>
      <patternFill patternType="gray125"/>
    </fill>
    <fill>
      <patternFill patternType="solid">
        <fgColor indexed="13"/>
        <bgColor indexed="64"/>
      </patternFill>
    </fill>
    <fill>
      <patternFill patternType="solid">
        <fgColor indexed="10"/>
        <bgColor indexed="64"/>
      </patternFill>
    </fill>
    <fill>
      <patternFill patternType="solid">
        <fgColor indexed="13"/>
        <bgColor indexed="13"/>
      </patternFill>
    </fill>
    <fill>
      <patternFill patternType="solid">
        <fgColor indexed="25"/>
        <bgColor indexed="64"/>
      </patternFill>
    </fill>
    <fill>
      <patternFill patternType="solid">
        <fgColor indexed="12"/>
        <bgColor indexed="64"/>
      </patternFill>
    </fill>
    <fill>
      <patternFill patternType="solid">
        <fgColor indexed="9"/>
        <bgColor indexed="8"/>
      </patternFill>
    </fill>
    <fill>
      <patternFill patternType="solid">
        <fgColor indexed="9"/>
        <bgColor indexed="64"/>
      </patternFill>
    </fill>
    <fill>
      <patternFill patternType="solid">
        <fgColor indexed="43"/>
        <bgColor indexed="64"/>
      </patternFill>
    </fill>
    <fill>
      <patternFill patternType="solid">
        <fgColor indexed="31"/>
        <bgColor indexed="64"/>
      </patternFill>
    </fill>
    <fill>
      <patternFill patternType="solid">
        <fgColor indexed="48"/>
        <bgColor indexed="64"/>
      </patternFill>
    </fill>
    <fill>
      <patternFill patternType="solid">
        <fgColor indexed="45"/>
        <bgColor indexed="64"/>
      </patternFill>
    </fill>
    <fill>
      <patternFill patternType="solid">
        <fgColor indexed="15"/>
        <bgColor indexed="64"/>
      </patternFill>
    </fill>
    <fill>
      <patternFill patternType="solid">
        <fgColor indexed="11"/>
        <bgColor indexed="64"/>
      </patternFill>
    </fill>
    <fill>
      <patternFill patternType="solid">
        <fgColor indexed="14"/>
        <bgColor indexed="64"/>
      </patternFill>
    </fill>
    <fill>
      <patternFill patternType="solid">
        <fgColor rgb="FFFF0000"/>
        <bgColor indexed="64"/>
      </patternFill>
    </fill>
    <fill>
      <patternFill patternType="solid">
        <fgColor rgb="FFFFFF00"/>
        <bgColor indexed="64"/>
      </patternFill>
    </fill>
    <fill>
      <patternFill patternType="solid">
        <fgColor rgb="FF008000"/>
        <bgColor indexed="64"/>
      </patternFill>
    </fill>
    <fill>
      <patternFill patternType="solid">
        <fgColor rgb="FFFF6600"/>
        <bgColor indexed="64"/>
      </patternFill>
    </fill>
    <fill>
      <patternFill patternType="solid">
        <fgColor rgb="FF00B0F0"/>
        <bgColor indexed="64"/>
      </patternFill>
    </fill>
  </fills>
  <borders count="12">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144">
    <xf numFmtId="0" fontId="0" fillId="0" borderId="0" xfId="0"/>
    <xf numFmtId="0" fontId="1" fillId="0" borderId="0" xfId="0" applyFont="1"/>
    <xf numFmtId="0" fontId="0" fillId="2" borderId="0" xfId="0" applyFill="1"/>
    <xf numFmtId="0" fontId="0" fillId="3" borderId="0" xfId="0" applyFill="1"/>
    <xf numFmtId="0" fontId="0" fillId="4" borderId="0" xfId="0" applyFill="1"/>
    <xf numFmtId="0" fontId="0" fillId="5" borderId="0" xfId="0" applyFill="1"/>
    <xf numFmtId="0" fontId="5" fillId="2" borderId="0" xfId="0" applyFont="1" applyFill="1"/>
    <xf numFmtId="0" fontId="1" fillId="2" borderId="0" xfId="0" applyFont="1" applyFill="1"/>
    <xf numFmtId="0" fontId="1" fillId="3" borderId="0" xfId="0" applyFont="1" applyFill="1"/>
    <xf numFmtId="0" fontId="6" fillId="2" borderId="0" xfId="0" applyFont="1" applyFill="1"/>
    <xf numFmtId="0" fontId="7" fillId="0" borderId="0" xfId="0" applyFont="1" applyAlignment="1">
      <alignment horizontal="center" wrapText="1"/>
    </xf>
    <xf numFmtId="0" fontId="9" fillId="0" borderId="0" xfId="0" applyFont="1" applyAlignment="1">
      <alignment horizontal="center"/>
    </xf>
    <xf numFmtId="0" fontId="0" fillId="0" borderId="0" xfId="0" applyAlignment="1">
      <alignment horizontal="center"/>
    </xf>
    <xf numFmtId="0" fontId="10" fillId="6" borderId="0" xfId="0" applyFont="1" applyFill="1"/>
    <xf numFmtId="0" fontId="11" fillId="6" borderId="0" xfId="0" applyFont="1" applyFill="1"/>
    <xf numFmtId="1" fontId="12" fillId="3" borderId="0" xfId="0" applyNumberFormat="1" applyFont="1" applyFill="1" applyAlignment="1">
      <alignment horizontal="center"/>
    </xf>
    <xf numFmtId="1" fontId="4" fillId="3" borderId="0" xfId="0" applyNumberFormat="1" applyFont="1" applyFill="1" applyAlignment="1">
      <alignment horizontal="center"/>
    </xf>
    <xf numFmtId="0" fontId="1" fillId="0" borderId="0" xfId="0" applyFont="1" applyAlignment="1">
      <alignment horizontal="center"/>
    </xf>
    <xf numFmtId="0" fontId="8" fillId="0" borderId="0" xfId="0" applyFont="1" applyAlignment="1">
      <alignment horizontal="center"/>
    </xf>
    <xf numFmtId="0" fontId="0" fillId="0" borderId="0" xfId="0" applyFill="1" applyBorder="1"/>
    <xf numFmtId="0" fontId="0" fillId="0" borderId="0" xfId="0" applyBorder="1"/>
    <xf numFmtId="0" fontId="9" fillId="2" borderId="0" xfId="0" applyFont="1" applyFill="1" applyBorder="1" applyAlignment="1">
      <alignment horizontal="center"/>
    </xf>
    <xf numFmtId="0" fontId="8" fillId="2" borderId="0" xfId="0" applyFont="1" applyFill="1" applyBorder="1" applyAlignment="1">
      <alignment horizontal="center"/>
    </xf>
    <xf numFmtId="0" fontId="8" fillId="2" borderId="0" xfId="0" applyFont="1" applyFill="1" applyAlignment="1">
      <alignment horizontal="center"/>
    </xf>
    <xf numFmtId="0" fontId="0" fillId="3" borderId="0" xfId="0" applyFill="1" applyBorder="1" applyAlignment="1">
      <alignment horizontal="right"/>
    </xf>
    <xf numFmtId="164" fontId="0" fillId="0" borderId="0" xfId="0" applyNumberFormat="1" applyFill="1" applyBorder="1" applyAlignment="1">
      <alignment horizontal="right"/>
    </xf>
    <xf numFmtId="0" fontId="0" fillId="0" borderId="0" xfId="0" applyFill="1" applyBorder="1" applyAlignment="1">
      <alignment horizontal="right"/>
    </xf>
    <xf numFmtId="0" fontId="0" fillId="0" borderId="0" xfId="0" applyFill="1" applyBorder="1" applyAlignment="1">
      <alignment horizontal="left"/>
    </xf>
    <xf numFmtId="2" fontId="0" fillId="0" borderId="0" xfId="0" applyNumberFormat="1" applyAlignment="1">
      <alignment horizontal="center"/>
    </xf>
    <xf numFmtId="0" fontId="14" fillId="0" borderId="1" xfId="0" applyFont="1" applyBorder="1"/>
    <xf numFmtId="0" fontId="14" fillId="0" borderId="2" xfId="0" applyFont="1" applyBorder="1"/>
    <xf numFmtId="0" fontId="14" fillId="0" borderId="3" xfId="0" applyFont="1" applyBorder="1"/>
    <xf numFmtId="0" fontId="14" fillId="0" borderId="0" xfId="0" applyFont="1"/>
    <xf numFmtId="0" fontId="15" fillId="0" borderId="4" xfId="0" applyFont="1" applyBorder="1" applyAlignment="1">
      <alignment horizontal="center"/>
    </xf>
    <xf numFmtId="0" fontId="15" fillId="0" borderId="5" xfId="0" applyFont="1" applyBorder="1" applyAlignment="1">
      <alignment horizontal="center"/>
    </xf>
    <xf numFmtId="0" fontId="15" fillId="0" borderId="6" xfId="0" applyFont="1" applyBorder="1" applyAlignment="1">
      <alignment horizontal="center"/>
    </xf>
    <xf numFmtId="0" fontId="15" fillId="0" borderId="7" xfId="0" applyFont="1" applyBorder="1" applyAlignment="1">
      <alignment horizontal="center"/>
    </xf>
    <xf numFmtId="0" fontId="15" fillId="0" borderId="0" xfId="0" applyFont="1" applyAlignment="1">
      <alignment horizontal="center"/>
    </xf>
    <xf numFmtId="0" fontId="14" fillId="0" borderId="8" xfId="0" applyFont="1" applyBorder="1" applyAlignment="1">
      <alignment horizontal="center"/>
    </xf>
    <xf numFmtId="0" fontId="14" fillId="0" borderId="0" xfId="0" applyFont="1" applyAlignment="1">
      <alignment horizontal="center"/>
    </xf>
    <xf numFmtId="164" fontId="14" fillId="0" borderId="0" xfId="0" applyNumberFormat="1" applyFont="1" applyAlignment="1">
      <alignment horizontal="center"/>
    </xf>
    <xf numFmtId="0" fontId="14" fillId="0" borderId="0" xfId="0" applyFont="1" applyBorder="1" applyAlignment="1">
      <alignment horizontal="center"/>
    </xf>
    <xf numFmtId="0" fontId="14" fillId="7" borderId="8" xfId="0" applyFont="1" applyFill="1" applyBorder="1" applyAlignment="1">
      <alignment horizontal="center"/>
    </xf>
    <xf numFmtId="0" fontId="14" fillId="7" borderId="0" xfId="0" applyFont="1" applyFill="1" applyAlignment="1">
      <alignment horizontal="center"/>
    </xf>
    <xf numFmtId="164" fontId="14" fillId="7" borderId="0" xfId="0" applyNumberFormat="1" applyFont="1" applyFill="1" applyAlignment="1">
      <alignment horizontal="center"/>
    </xf>
    <xf numFmtId="0" fontId="14" fillId="7" borderId="0" xfId="0" applyFont="1" applyFill="1" applyBorder="1" applyAlignment="1">
      <alignment horizontal="center"/>
    </xf>
    <xf numFmtId="0" fontId="14" fillId="8" borderId="0" xfId="0" applyFont="1" applyFill="1" applyBorder="1"/>
    <xf numFmtId="0" fontId="14" fillId="8" borderId="9" xfId="0" applyFont="1" applyFill="1" applyBorder="1"/>
    <xf numFmtId="0" fontId="14" fillId="0" borderId="0" xfId="0" applyFont="1" applyBorder="1"/>
    <xf numFmtId="0" fontId="14" fillId="0" borderId="9" xfId="0" applyFont="1" applyBorder="1"/>
    <xf numFmtId="0" fontId="14" fillId="7" borderId="10" xfId="0" applyFont="1" applyFill="1" applyBorder="1" applyAlignment="1">
      <alignment horizontal="center"/>
    </xf>
    <xf numFmtId="0" fontId="14" fillId="7" borderId="7" xfId="0" applyFont="1" applyFill="1" applyBorder="1" applyAlignment="1">
      <alignment horizontal="center"/>
    </xf>
    <xf numFmtId="164" fontId="14" fillId="7" borderId="7" xfId="0" applyNumberFormat="1" applyFont="1" applyFill="1" applyBorder="1" applyAlignment="1">
      <alignment horizontal="center"/>
    </xf>
    <xf numFmtId="0" fontId="14" fillId="8" borderId="7" xfId="0" applyFont="1" applyFill="1" applyBorder="1"/>
    <xf numFmtId="0" fontId="14" fillId="8" borderId="11" xfId="0" applyFont="1" applyFill="1" applyBorder="1"/>
    <xf numFmtId="0" fontId="13" fillId="0" borderId="5" xfId="0" applyFont="1" applyBorder="1" applyAlignment="1">
      <alignment horizontal="center"/>
    </xf>
    <xf numFmtId="0" fontId="13" fillId="0" borderId="6" xfId="0" applyFont="1" applyBorder="1" applyAlignment="1">
      <alignment horizontal="center"/>
    </xf>
    <xf numFmtId="165" fontId="14" fillId="0" borderId="0" xfId="0" applyNumberFormat="1" applyFont="1"/>
    <xf numFmtId="1" fontId="14" fillId="0" borderId="0" xfId="0" applyNumberFormat="1" applyFont="1"/>
    <xf numFmtId="2" fontId="14" fillId="0" borderId="0" xfId="0" applyNumberFormat="1" applyFont="1"/>
    <xf numFmtId="165" fontId="14" fillId="0" borderId="9" xfId="0" applyNumberFormat="1" applyFont="1" applyBorder="1"/>
    <xf numFmtId="0" fontId="14" fillId="7" borderId="0" xfId="0" applyFont="1" applyFill="1"/>
    <xf numFmtId="165" fontId="14" fillId="7" borderId="0" xfId="0" applyNumberFormat="1" applyFont="1" applyFill="1"/>
    <xf numFmtId="165" fontId="14" fillId="8" borderId="0" xfId="0" applyNumberFormat="1" applyFont="1" applyFill="1"/>
    <xf numFmtId="1" fontId="14" fillId="7" borderId="0" xfId="0" applyNumberFormat="1" applyFont="1" applyFill="1"/>
    <xf numFmtId="2" fontId="14" fillId="7" borderId="0" xfId="0" applyNumberFormat="1" applyFont="1" applyFill="1"/>
    <xf numFmtId="165" fontId="14" fillId="8" borderId="9" xfId="0" applyNumberFormat="1" applyFont="1" applyFill="1" applyBorder="1"/>
    <xf numFmtId="0" fontId="14" fillId="7" borderId="7" xfId="0" applyFont="1" applyFill="1" applyBorder="1"/>
    <xf numFmtId="165" fontId="14" fillId="7" borderId="7" xfId="0" applyNumberFormat="1" applyFont="1" applyFill="1" applyBorder="1"/>
    <xf numFmtId="165" fontId="14" fillId="8" borderId="7" xfId="0" applyNumberFormat="1" applyFont="1" applyFill="1" applyBorder="1"/>
    <xf numFmtId="1" fontId="14" fillId="7" borderId="7" xfId="0" applyNumberFormat="1" applyFont="1" applyFill="1" applyBorder="1"/>
    <xf numFmtId="2" fontId="14" fillId="7" borderId="7" xfId="0" applyNumberFormat="1" applyFont="1" applyFill="1" applyBorder="1"/>
    <xf numFmtId="165" fontId="14" fillId="8" borderId="11" xfId="0" applyNumberFormat="1" applyFont="1" applyFill="1" applyBorder="1"/>
    <xf numFmtId="0" fontId="13" fillId="0" borderId="4" xfId="0" applyFont="1" applyBorder="1" applyAlignment="1">
      <alignment horizontal="center"/>
    </xf>
    <xf numFmtId="164" fontId="14" fillId="0" borderId="0" xfId="0" applyNumberFormat="1" applyFont="1"/>
    <xf numFmtId="2" fontId="14" fillId="0" borderId="0" xfId="0" applyNumberFormat="1" applyFont="1" applyAlignment="1">
      <alignment horizontal="center"/>
    </xf>
    <xf numFmtId="1" fontId="14" fillId="0" borderId="3" xfId="0" applyNumberFormat="1" applyFont="1" applyBorder="1" applyAlignment="1">
      <alignment horizontal="center"/>
    </xf>
    <xf numFmtId="164" fontId="14" fillId="7" borderId="0" xfId="0" applyNumberFormat="1" applyFont="1" applyFill="1"/>
    <xf numFmtId="2" fontId="14" fillId="8" borderId="0" xfId="0" applyNumberFormat="1" applyFont="1" applyFill="1" applyAlignment="1">
      <alignment horizontal="center"/>
    </xf>
    <xf numFmtId="2" fontId="14" fillId="7" borderId="0" xfId="0" applyNumberFormat="1" applyFont="1" applyFill="1" applyAlignment="1">
      <alignment horizontal="center"/>
    </xf>
    <xf numFmtId="0" fontId="14" fillId="8" borderId="0" xfId="0" applyFont="1" applyFill="1"/>
    <xf numFmtId="1" fontId="14" fillId="7" borderId="9" xfId="0" applyNumberFormat="1" applyFont="1" applyFill="1" applyBorder="1" applyAlignment="1">
      <alignment horizontal="center"/>
    </xf>
    <xf numFmtId="1" fontId="14" fillId="0" borderId="9" xfId="0" applyNumberFormat="1" applyFont="1" applyBorder="1" applyAlignment="1">
      <alignment horizontal="center"/>
    </xf>
    <xf numFmtId="164" fontId="14" fillId="7" borderId="7" xfId="0" applyNumberFormat="1" applyFont="1" applyFill="1" applyBorder="1"/>
    <xf numFmtId="2" fontId="14" fillId="8" borderId="7" xfId="0" applyNumberFormat="1" applyFont="1" applyFill="1" applyBorder="1" applyAlignment="1">
      <alignment horizontal="center"/>
    </xf>
    <xf numFmtId="2" fontId="14" fillId="7" borderId="7" xfId="0" applyNumberFormat="1" applyFont="1" applyFill="1" applyBorder="1" applyAlignment="1">
      <alignment horizontal="center"/>
    </xf>
    <xf numFmtId="1" fontId="14" fillId="7" borderId="11" xfId="0" applyNumberFormat="1" applyFont="1" applyFill="1" applyBorder="1" applyAlignment="1">
      <alignment horizontal="center"/>
    </xf>
    <xf numFmtId="0" fontId="14" fillId="0" borderId="0" xfId="0" applyFont="1" applyFill="1" applyAlignment="1">
      <alignment horizontal="center"/>
    </xf>
    <xf numFmtId="0" fontId="0" fillId="0" borderId="0" xfId="0" applyFill="1"/>
    <xf numFmtId="0" fontId="14" fillId="0" borderId="0" xfId="0" applyFont="1" applyFill="1" applyBorder="1" applyAlignment="1">
      <alignment horizontal="center"/>
    </xf>
    <xf numFmtId="0" fontId="2" fillId="0" borderId="0" xfId="0" applyFont="1" applyAlignment="1">
      <alignment horizontal="center"/>
    </xf>
    <xf numFmtId="14" fontId="17" fillId="9" borderId="0" xfId="0" applyNumberFormat="1" applyFont="1" applyFill="1"/>
    <xf numFmtId="0" fontId="17" fillId="9" borderId="0" xfId="0" applyFont="1" applyFill="1"/>
    <xf numFmtId="20" fontId="17" fillId="9" borderId="0" xfId="0" applyNumberFormat="1" applyFont="1" applyFill="1"/>
    <xf numFmtId="14" fontId="17" fillId="0" borderId="0" xfId="0" applyNumberFormat="1" applyFont="1"/>
    <xf numFmtId="0" fontId="17" fillId="0" borderId="0" xfId="0" applyFont="1"/>
    <xf numFmtId="20" fontId="17" fillId="0" borderId="0" xfId="0" applyNumberFormat="1" applyFont="1"/>
    <xf numFmtId="0" fontId="18" fillId="0" borderId="0" xfId="0" applyFont="1" applyAlignment="1">
      <alignment horizontal="center"/>
    </xf>
    <xf numFmtId="0" fontId="19" fillId="0" borderId="0" xfId="0" applyFont="1"/>
    <xf numFmtId="0" fontId="19" fillId="10" borderId="0" xfId="0" applyFont="1" applyFill="1" applyAlignment="1">
      <alignment horizontal="center"/>
    </xf>
    <xf numFmtId="14" fontId="19" fillId="10" borderId="0" xfId="0" applyNumberFormat="1" applyFont="1" applyFill="1" applyAlignment="1">
      <alignment horizontal="center"/>
    </xf>
    <xf numFmtId="20" fontId="19" fillId="10" borderId="0" xfId="0" applyNumberFormat="1" applyFont="1" applyFill="1" applyAlignment="1">
      <alignment horizontal="center"/>
    </xf>
    <xf numFmtId="0" fontId="19" fillId="0" borderId="0" xfId="0" applyFont="1" applyAlignment="1">
      <alignment horizontal="center"/>
    </xf>
    <xf numFmtId="14" fontId="19" fillId="0" borderId="0" xfId="0" applyNumberFormat="1" applyFont="1" applyAlignment="1">
      <alignment horizontal="center"/>
    </xf>
    <xf numFmtId="20" fontId="19" fillId="0" borderId="0" xfId="0" applyNumberFormat="1" applyFont="1" applyAlignment="1">
      <alignment horizontal="center"/>
    </xf>
    <xf numFmtId="0" fontId="20" fillId="11" borderId="0" xfId="0" applyFont="1" applyFill="1"/>
    <xf numFmtId="0" fontId="12" fillId="11" borderId="0" xfId="0" applyFont="1" applyFill="1"/>
    <xf numFmtId="0" fontId="0" fillId="11" borderId="0" xfId="0" applyFill="1"/>
    <xf numFmtId="0" fontId="19" fillId="12" borderId="0" xfId="0" applyFont="1" applyFill="1"/>
    <xf numFmtId="14" fontId="19" fillId="12" borderId="0" xfId="0" applyNumberFormat="1" applyFont="1" applyFill="1"/>
    <xf numFmtId="20" fontId="19" fillId="12" borderId="0" xfId="0" applyNumberFormat="1" applyFont="1" applyFill="1"/>
    <xf numFmtId="14" fontId="19" fillId="0" borderId="0" xfId="0" applyNumberFormat="1" applyFont="1"/>
    <xf numFmtId="20" fontId="19" fillId="0" borderId="0" xfId="0" applyNumberFormat="1" applyFont="1"/>
    <xf numFmtId="14" fontId="0" fillId="0" borderId="0" xfId="0" applyNumberFormat="1"/>
    <xf numFmtId="0" fontId="22" fillId="13" borderId="0" xfId="0" applyFont="1" applyFill="1"/>
    <xf numFmtId="14" fontId="0" fillId="14" borderId="0" xfId="0" applyNumberFormat="1" applyFill="1"/>
    <xf numFmtId="0" fontId="0" fillId="14" borderId="0" xfId="0" applyFill="1"/>
    <xf numFmtId="0" fontId="12" fillId="0" borderId="0" xfId="0" applyFont="1"/>
    <xf numFmtId="0" fontId="22" fillId="15" borderId="0" xfId="0" applyFont="1" applyFill="1"/>
    <xf numFmtId="0" fontId="21" fillId="2" borderId="0" xfId="0" applyFont="1" applyFill="1"/>
    <xf numFmtId="4" fontId="0" fillId="0" borderId="0" xfId="0" applyNumberFormat="1"/>
    <xf numFmtId="0" fontId="20" fillId="16" borderId="0" xfId="0" applyFont="1" applyFill="1"/>
    <xf numFmtId="0" fontId="20" fillId="17" borderId="0" xfId="0" applyFont="1" applyFill="1"/>
    <xf numFmtId="0" fontId="4" fillId="18" borderId="0" xfId="0" applyFont="1" applyFill="1"/>
    <xf numFmtId="0" fontId="20" fillId="19" borderId="0" xfId="0" applyFont="1" applyFill="1"/>
    <xf numFmtId="0" fontId="24" fillId="0" borderId="0" xfId="0" applyFont="1" applyAlignment="1">
      <alignment horizontal="center"/>
    </xf>
    <xf numFmtId="0" fontId="0" fillId="0" borderId="0" xfId="0" applyAlignment="1"/>
    <xf numFmtId="0" fontId="1" fillId="0" borderId="0" xfId="0" applyFont="1" applyAlignment="1"/>
    <xf numFmtId="0" fontId="0" fillId="0" borderId="0" xfId="0" applyFont="1" applyAlignment="1">
      <alignment horizontal="center"/>
    </xf>
    <xf numFmtId="0" fontId="3" fillId="0" borderId="0" xfId="1" applyAlignment="1" applyProtection="1"/>
    <xf numFmtId="0" fontId="25" fillId="0" borderId="0" xfId="0" applyFont="1"/>
    <xf numFmtId="0" fontId="26" fillId="0" borderId="0" xfId="0" applyFont="1"/>
    <xf numFmtId="0" fontId="20" fillId="0" borderId="0" xfId="0" applyFont="1" applyFill="1"/>
    <xf numFmtId="0" fontId="27" fillId="20" borderId="0" xfId="0" applyFont="1" applyFill="1"/>
    <xf numFmtId="0" fontId="28" fillId="20" borderId="0" xfId="1" applyFont="1" applyFill="1" applyAlignment="1" applyProtection="1"/>
    <xf numFmtId="0" fontId="29" fillId="20" borderId="0" xfId="0" applyFont="1" applyFill="1"/>
    <xf numFmtId="0" fontId="30" fillId="20" borderId="0" xfId="1" applyFont="1" applyFill="1" applyAlignment="1" applyProtection="1"/>
    <xf numFmtId="0" fontId="31" fillId="20" borderId="0" xfId="0" applyFont="1" applyFill="1"/>
    <xf numFmtId="0" fontId="17" fillId="0" borderId="0" xfId="0" applyFont="1"/>
    <xf numFmtId="0" fontId="15" fillId="0" borderId="5" xfId="0" applyFont="1" applyBorder="1"/>
    <xf numFmtId="0" fontId="15" fillId="0" borderId="4" xfId="0" applyFont="1" applyBorder="1"/>
    <xf numFmtId="0" fontId="32" fillId="20" borderId="0" xfId="0" applyFont="1" applyFill="1"/>
    <xf numFmtId="0" fontId="33" fillId="0" borderId="0" xfId="0" applyFont="1"/>
    <xf numFmtId="0" fontId="34" fillId="20" borderId="0" xfId="0" applyFont="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5.xml.rels><?xml version="1.0" encoding="UTF-8" standalone="yes"?>
<Relationships xmlns="http://schemas.openxmlformats.org/package/2006/relationships"><Relationship Id="rId8" Type="http://schemas.openxmlformats.org/officeDocument/2006/relationships/hyperlink" Target="http://www.fantrax.com/newui/fantasy/teamRoster.go?adminMode=false&amp;teamId=29bwiotqhbsl6vc3&amp;leagueId=dich2yxchbsl6vc2&amp;isSubmit=y" TargetMode="External"/><Relationship Id="rId13" Type="http://schemas.openxmlformats.org/officeDocument/2006/relationships/hyperlink" Target="javascript:__sortDiff('standingsHeadTable0')" TargetMode="External"/><Relationship Id="rId3" Type="http://schemas.openxmlformats.org/officeDocument/2006/relationships/hyperlink" Target="http://www.fantrax.com/newui/fantasy/teamRoster.go?adminMode=false&amp;teamId=w0gnmlcphbsl6vc4&amp;leagueId=dich2yxchbsl6vc2&amp;isSubmit=y" TargetMode="External"/><Relationship Id="rId7" Type="http://schemas.openxmlformats.org/officeDocument/2006/relationships/hyperlink" Target="http://www.fantrax.com/newui/fantasy/teamRoster.go?adminMode=false&amp;teamId=xpzb6jbshbsl6vc3&amp;leagueId=dich2yxchbsl6vc2&amp;isSubmit=y" TargetMode="External"/><Relationship Id="rId12" Type="http://schemas.openxmlformats.org/officeDocument/2006/relationships/hyperlink" Target="http://www.fantrax.com/newui/fantasy/teamRoster.go?adminMode=false&amp;teamId=cwfxsjdqhbsl6vc3&amp;leagueId=dich2yxchbsl6vc2&amp;isSubmit=y" TargetMode="External"/><Relationship Id="rId2" Type="http://schemas.openxmlformats.org/officeDocument/2006/relationships/hyperlink" Target="http://www.fantrax.com/newui/fantasy/teamRoster.go?adminMode=false&amp;teamId=l7lm8g00hbsl6vc3&amp;leagueId=dich2yxchbsl6vc2&amp;isSubmit=y" TargetMode="External"/><Relationship Id="rId1" Type="http://schemas.openxmlformats.org/officeDocument/2006/relationships/hyperlink" Target="http://www.fantrax.com/newui/fantasy/teamRoster.go?adminMode=false&amp;teamId=hn1gtp5shbsl6vc3&amp;leagueId=dich2yxchbsl6vc2&amp;isSubmit=y" TargetMode="External"/><Relationship Id="rId6" Type="http://schemas.openxmlformats.org/officeDocument/2006/relationships/hyperlink" Target="http://www.fantrax.com/newui/fantasy/teamRoster.go?adminMode=false&amp;teamId=cezytxpwhbsl6vc4&amp;leagueId=dich2yxchbsl6vc2&amp;isSubmit=y" TargetMode="External"/><Relationship Id="rId11" Type="http://schemas.openxmlformats.org/officeDocument/2006/relationships/hyperlink" Target="http://www.fantrax.com/newui/fantasy/teamRoster.go?adminMode=false&amp;teamId=0sglqd4bhbsl6vc3&amp;leagueId=dich2yxchbsl6vc2&amp;isSubmit=y" TargetMode="External"/><Relationship Id="rId5" Type="http://schemas.openxmlformats.org/officeDocument/2006/relationships/hyperlink" Target="http://www.fantrax.com/newui/fantasy/teamRoster.go?adminMode=false&amp;teamId=a9pb1nezhbsl6vc3&amp;leagueId=dich2yxchbsl6vc2&amp;isSubmit=y" TargetMode="External"/><Relationship Id="rId10" Type="http://schemas.openxmlformats.org/officeDocument/2006/relationships/hyperlink" Target="http://www.fantrax.com/newui/fantasy/teamRoster.go?adminMode=false&amp;teamId=rcopoqfmhbsl6vc3&amp;leagueId=dich2yxchbsl6vc2&amp;isSubmit=y" TargetMode="External"/><Relationship Id="rId4" Type="http://schemas.openxmlformats.org/officeDocument/2006/relationships/hyperlink" Target="http://www.fantrax.com/newui/fantasy/teamRoster.go?adminMode=false&amp;teamId=9zqlf7gnhbsl6vc3&amp;leagueId=dich2yxchbsl6vc2&amp;isSubmit=y" TargetMode="External"/><Relationship Id="rId9" Type="http://schemas.openxmlformats.org/officeDocument/2006/relationships/hyperlink" Target="http://www.fantrax.com/newui/fantasy/teamRoster.go?adminMode=false&amp;teamId=q6ntcpsnhbsl6vc3&amp;leagueId=dich2yxchbsl6vc2&amp;isSubmit=y" TargetMode="External"/><Relationship Id="rId14" Type="http://schemas.openxmlformats.org/officeDocument/2006/relationships/hyperlink" Target="javascript:__sortHeadTbl('thGpHead',%20'standingsHeadTable0',%20true)"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www.fantrax.com/newui/fantasy/teamRoster.go?adminMode=false&amp;teamId=vlnisrlxhpufgeaz&amp;leagueId=ulqccqanhpufgeaw&amp;isSubmit=y" TargetMode="External"/><Relationship Id="rId13" Type="http://schemas.openxmlformats.org/officeDocument/2006/relationships/hyperlink" Target="javascript:__sortDiff('standingsHeadTable0')" TargetMode="External"/><Relationship Id="rId3" Type="http://schemas.openxmlformats.org/officeDocument/2006/relationships/hyperlink" Target="http://www.fantrax.com/newui/fantasy/teamRoster.go?adminMode=false&amp;teamId=luwrpts1hpufgeb0&amp;leagueId=ulqccqanhpufgeaw&amp;isSubmit=y" TargetMode="External"/><Relationship Id="rId7" Type="http://schemas.openxmlformats.org/officeDocument/2006/relationships/hyperlink" Target="http://www.fantrax.com/newui/fantasy/teamRoster.go?adminMode=false&amp;teamId=q5kmnglthpufgeb0&amp;leagueId=ulqccqanhpufgeaw&amp;isSubmit=y" TargetMode="External"/><Relationship Id="rId12" Type="http://schemas.openxmlformats.org/officeDocument/2006/relationships/hyperlink" Target="http://www.fantrax.com/newui/fantasy/teamRoster.go?adminMode=false&amp;teamId=cozba2i6hpufgeaz&amp;leagueId=ulqccqanhpufgeaw&amp;isSubmit=y" TargetMode="External"/><Relationship Id="rId2" Type="http://schemas.openxmlformats.org/officeDocument/2006/relationships/hyperlink" Target="http://www.fantrax.com/newui/fantasy/teamRoster.go?adminMode=false&amp;teamId=nipzcp1xhpufgeaz&amp;leagueId=ulqccqanhpufgeaw&amp;isSubmit=y" TargetMode="External"/><Relationship Id="rId1" Type="http://schemas.openxmlformats.org/officeDocument/2006/relationships/hyperlink" Target="http://www.fantrax.com/newui/fantasy/teamRoster.go?adminMode=false&amp;teamId=pkvbwa9zhpufgeb0&amp;leagueId=ulqccqanhpufgeaw&amp;isSubmit=y" TargetMode="External"/><Relationship Id="rId6" Type="http://schemas.openxmlformats.org/officeDocument/2006/relationships/hyperlink" Target="http://www.fantrax.com/newui/fantasy/teamRoster.go?adminMode=false&amp;teamId=fply1gzlhpufgeb0&amp;leagueId=ulqccqanhpufgeaw&amp;isSubmit=y" TargetMode="External"/><Relationship Id="rId11" Type="http://schemas.openxmlformats.org/officeDocument/2006/relationships/hyperlink" Target="http://www.fantrax.com/newui/fantasy/teamRoster.go?adminMode=false&amp;teamId=mihls539hpufgeb0&amp;leagueId=ulqccqanhpufgeaw&amp;isSubmit=y" TargetMode="External"/><Relationship Id="rId5" Type="http://schemas.openxmlformats.org/officeDocument/2006/relationships/hyperlink" Target="http://www.fantrax.com/newui/fantasy/teamRoster.go?adminMode=false&amp;teamId=4niyjj8shpufgeb0&amp;leagueId=ulqccqanhpufgeaw&amp;isSubmit=y" TargetMode="External"/><Relationship Id="rId10" Type="http://schemas.openxmlformats.org/officeDocument/2006/relationships/hyperlink" Target="http://www.fantrax.com/newui/fantasy/teamRoster.go?adminMode=false&amp;teamId=9siulm6hhpufgeaz&amp;leagueId=ulqccqanhpufgeaw&amp;isSubmit=y" TargetMode="External"/><Relationship Id="rId4" Type="http://schemas.openxmlformats.org/officeDocument/2006/relationships/hyperlink" Target="http://www.fantrax.com/newui/fantasy/teamRoster.go?adminMode=false&amp;teamId=q3zmqybphpufgeb0&amp;leagueId=ulqccqanhpufgeaw&amp;isSubmit=y" TargetMode="External"/><Relationship Id="rId9" Type="http://schemas.openxmlformats.org/officeDocument/2006/relationships/hyperlink" Target="http://www.fantrax.com/newui/fantasy/teamRoster.go?adminMode=false&amp;teamId=cqr6xceshpufgeaz&amp;leagueId=ulqccqanhpufgeaw&amp;isSubmit=y" TargetMode="External"/><Relationship Id="rId14" Type="http://schemas.openxmlformats.org/officeDocument/2006/relationships/hyperlink" Target="javascript:__sortHeadTbl('thGpHead',%20'standingsHeadTable0',%20true)"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www.fantrax.com/newui/fantasy/teamRoster.go?adminMode=false&amp;teamId=vje0ep8ri5d8eqgc&amp;leagueId=6jjupkjti5d8eqg3&amp;isSubmit=y" TargetMode="External"/><Relationship Id="rId13" Type="http://schemas.openxmlformats.org/officeDocument/2006/relationships/hyperlink" Target="http://www.fantrax.com/newui/fantasy/teamRoster.go?adminMode=false&amp;teamId=l7xcjvyai5d8eqgd&amp;leagueId=6jjupkjti5d8eqg3&amp;isSubmit=y" TargetMode="External"/><Relationship Id="rId3" Type="http://schemas.openxmlformats.org/officeDocument/2006/relationships/hyperlink" Target="http://www.fantrax.com/newui/fantasy/teamRoster.go?adminMode=false&amp;teamId=soptsrobi5d8eqgc&amp;leagueId=6jjupkjti5d8eqg3&amp;isSubmit=y" TargetMode="External"/><Relationship Id="rId7" Type="http://schemas.openxmlformats.org/officeDocument/2006/relationships/hyperlink" Target="http://www.fantrax.com/newui/fantasy/teamRoster.go?adminMode=false&amp;teamId=fnxpkhlhi5d8eqgd&amp;leagueId=6jjupkjti5d8eqg3&amp;isSubmit=y" TargetMode="External"/><Relationship Id="rId12" Type="http://schemas.openxmlformats.org/officeDocument/2006/relationships/hyperlink" Target="http://www.fantrax.com/newui/fantasy/teamRoster.go?adminMode=false&amp;teamId=qpy0qqsui5d8eqgd&amp;leagueId=6jjupkjti5d8eqg3&amp;isSubmit=y" TargetMode="External"/><Relationship Id="rId2" Type="http://schemas.openxmlformats.org/officeDocument/2006/relationships/hyperlink" Target="javascript:__sortHeadTbl('thGpHead',%20'standingsHeadTable0',%20true)" TargetMode="External"/><Relationship Id="rId1" Type="http://schemas.openxmlformats.org/officeDocument/2006/relationships/hyperlink" Target="javascript:__sortDiff('standingsHeadTable0')" TargetMode="External"/><Relationship Id="rId6" Type="http://schemas.openxmlformats.org/officeDocument/2006/relationships/hyperlink" Target="http://www.fantrax.com/newui/fantasy/teamRoster.go?adminMode=false&amp;teamId=94l4tfmei5d8eqgc&amp;leagueId=6jjupkjti5d8eqg3&amp;isSubmit=y" TargetMode="External"/><Relationship Id="rId11" Type="http://schemas.openxmlformats.org/officeDocument/2006/relationships/hyperlink" Target="http://www.fantrax.com/newui/fantasy/teamRoster.go?adminMode=false&amp;teamId=sotylnrdi5d8eqgc&amp;leagueId=6jjupkjti5d8eqg3&amp;isSubmit=y" TargetMode="External"/><Relationship Id="rId5" Type="http://schemas.openxmlformats.org/officeDocument/2006/relationships/hyperlink" Target="http://www.fantrax.com/newui/fantasy/teamRoster.go?adminMode=false&amp;teamId=vazpgwdki5d8eqgc&amp;leagueId=6jjupkjti5d8eqg3&amp;isSubmit=y" TargetMode="External"/><Relationship Id="rId10" Type="http://schemas.openxmlformats.org/officeDocument/2006/relationships/hyperlink" Target="http://www.fantrax.com/newui/fantasy/teamRoster.go?adminMode=false&amp;teamId=ujuvlxlki5d8eqgd&amp;leagueId=6jjupkjti5d8eqg3&amp;isSubmit=y" TargetMode="External"/><Relationship Id="rId4" Type="http://schemas.openxmlformats.org/officeDocument/2006/relationships/hyperlink" Target="http://www.fantrax.com/newui/fantasy/teamRoster.go?adminMode=false&amp;teamId=etlnzipai5d8eqgd&amp;leagueId=6jjupkjti5d8eqg3&amp;isSubmit=y" TargetMode="External"/><Relationship Id="rId9" Type="http://schemas.openxmlformats.org/officeDocument/2006/relationships/hyperlink" Target="http://www.fantrax.com/newui/fantasy/teamRoster.go?adminMode=false&amp;teamId=gnmc0ugri5d8eqgd&amp;leagueId=6jjupkjti5d8eqg3&amp;isSubmit=y" TargetMode="External"/><Relationship Id="rId14" Type="http://schemas.openxmlformats.org/officeDocument/2006/relationships/hyperlink" Target="http://www.fantrax.com/newui/fantasy/teamRoster.go?adminMode=false&amp;teamId=aj4cqecdi5d8eqgc&amp;leagueId=6jjupkjti5d8eqg3&amp;isSubmit=y" TargetMode="External"/></Relationships>
</file>

<file path=xl/worksheets/_rels/sheet18.xml.rels><?xml version="1.0" encoding="UTF-8" standalone="yes"?>
<Relationships xmlns="http://schemas.openxmlformats.org/package/2006/relationships"><Relationship Id="rId2" Type="http://schemas.openxmlformats.org/officeDocument/2006/relationships/hyperlink" Target="javascript:__sortHeadTbl('thGpHead',%20'standingsHeadTable0',%20true)" TargetMode="External"/><Relationship Id="rId1" Type="http://schemas.openxmlformats.org/officeDocument/2006/relationships/hyperlink" Target="javascript:__sortDiff('standingsHeadTable0')" TargetMode="External"/></Relationships>
</file>

<file path=xl/worksheets/_rels/sheet19.xml.rels><?xml version="1.0" encoding="UTF-8" standalone="yes"?>
<Relationships xmlns="http://schemas.openxmlformats.org/package/2006/relationships"><Relationship Id="rId2" Type="http://schemas.openxmlformats.org/officeDocument/2006/relationships/hyperlink" Target="javascript:__sortHeadTbl('thGpHead',%20'standingsHeadTable0',%20true)" TargetMode="External"/><Relationship Id="rId1" Type="http://schemas.openxmlformats.org/officeDocument/2006/relationships/hyperlink" Target="javascript:__sortDiff('standingsHeadTable0')" TargetMode="External"/></Relationships>
</file>

<file path=xl/worksheets/_rels/sheet20.xml.rels><?xml version="1.0" encoding="UTF-8" standalone="yes"?>
<Relationships xmlns="http://schemas.openxmlformats.org/package/2006/relationships"><Relationship Id="rId2" Type="http://schemas.openxmlformats.org/officeDocument/2006/relationships/hyperlink" Target="javascript:__sortHeadTbl('thGpHead',%20'standingsHeadTable0',%20true)" TargetMode="External"/><Relationship Id="rId1" Type="http://schemas.openxmlformats.org/officeDocument/2006/relationships/hyperlink" Target="javascript:__sortDiff('standingsHeadTable0')" TargetMode="External"/></Relationships>
</file>

<file path=xl/worksheets/_rels/sheet21.xml.rels><?xml version="1.0" encoding="UTF-8" standalone="yes"?>
<Relationships xmlns="http://schemas.openxmlformats.org/package/2006/relationships"><Relationship Id="rId2" Type="http://schemas.openxmlformats.org/officeDocument/2006/relationships/hyperlink" Target="javascript:__sortHeadTbl('thGpHead',%20'standingsHeadTable0',%20true)" TargetMode="External"/><Relationship Id="rId1" Type="http://schemas.openxmlformats.org/officeDocument/2006/relationships/hyperlink" Target="javascript:__sortDiff('standingsHeadTable0')" TargetMode="External"/></Relationships>
</file>

<file path=xl/worksheets/_rels/sheet22.xml.rels><?xml version="1.0" encoding="UTF-8" standalone="yes"?>
<Relationships xmlns="http://schemas.openxmlformats.org/package/2006/relationships"><Relationship Id="rId2" Type="http://schemas.openxmlformats.org/officeDocument/2006/relationships/hyperlink" Target="javascript:__sortHeadTbl('thGpHead',%20'standingsHeadTable0',%20true)" TargetMode="External"/><Relationship Id="rId1" Type="http://schemas.openxmlformats.org/officeDocument/2006/relationships/hyperlink" Target="javascript:__sortDiff('standingsHeadTable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workbookViewId="0">
      <selection activeCell="A11" sqref="A11"/>
    </sheetView>
  </sheetViews>
  <sheetFormatPr baseColWidth="10" defaultColWidth="11" defaultRowHeight="13" x14ac:dyDescent="0.15"/>
  <cols>
    <col min="1" max="1" width="21.33203125" customWidth="1"/>
    <col min="2" max="2" width="11" customWidth="1"/>
    <col min="3" max="3" width="56.5" customWidth="1"/>
  </cols>
  <sheetData>
    <row r="1" spans="1:3" x14ac:dyDescent="0.15">
      <c r="A1" t="s">
        <v>785</v>
      </c>
    </row>
    <row r="2" spans="1:3" s="1" customFormat="1" x14ac:dyDescent="0.15">
      <c r="A2" s="1" t="s">
        <v>797</v>
      </c>
    </row>
    <row r="3" spans="1:3" x14ac:dyDescent="0.15">
      <c r="A3" t="s">
        <v>768</v>
      </c>
    </row>
    <row r="4" spans="1:3" x14ac:dyDescent="0.15">
      <c r="A4" t="s">
        <v>805</v>
      </c>
    </row>
    <row r="5" spans="1:3" x14ac:dyDescent="0.15">
      <c r="A5" t="s">
        <v>742</v>
      </c>
    </row>
    <row r="6" spans="1:3" x14ac:dyDescent="0.15">
      <c r="A6" t="s">
        <v>786</v>
      </c>
    </row>
    <row r="7" spans="1:3" x14ac:dyDescent="0.15">
      <c r="A7" t="s">
        <v>794</v>
      </c>
    </row>
    <row r="8" spans="1:3" x14ac:dyDescent="0.15">
      <c r="A8" t="s">
        <v>772</v>
      </c>
    </row>
    <row r="9" spans="1:3" x14ac:dyDescent="0.15">
      <c r="A9" t="s">
        <v>805</v>
      </c>
    </row>
    <row r="10" spans="1:3" x14ac:dyDescent="0.15">
      <c r="A10" t="s">
        <v>743</v>
      </c>
    </row>
    <row r="11" spans="1:3" x14ac:dyDescent="0.15">
      <c r="A11" t="s">
        <v>744</v>
      </c>
    </row>
    <row r="16" spans="1:3" x14ac:dyDescent="0.15">
      <c r="C16" s="1" t="s">
        <v>822</v>
      </c>
    </row>
    <row r="17" spans="3:3" x14ac:dyDescent="0.15">
      <c r="C17" t="s">
        <v>807</v>
      </c>
    </row>
    <row r="18" spans="3:3" x14ac:dyDescent="0.15">
      <c r="C18" t="s">
        <v>756</v>
      </c>
    </row>
    <row r="19" spans="3:3" x14ac:dyDescent="0.15">
      <c r="C19" t="s">
        <v>757</v>
      </c>
    </row>
    <row r="20" spans="3:3" x14ac:dyDescent="0.15">
      <c r="C20" t="s">
        <v>697</v>
      </c>
    </row>
  </sheetData>
  <phoneticPr fontId="0" type="noConversion"/>
  <pageMargins left="0.7" right="0.7" top="0.75" bottom="0.75" header="0.5" footer="0.5"/>
  <pageSetup paperSize="0"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5"/>
  <sheetViews>
    <sheetView workbookViewId="0">
      <selection activeCell="B37" sqref="B37"/>
    </sheetView>
  </sheetViews>
  <sheetFormatPr baseColWidth="10" defaultColWidth="11" defaultRowHeight="13" x14ac:dyDescent="0.15"/>
  <cols>
    <col min="1" max="1" width="21.1640625" customWidth="1"/>
    <col min="2" max="2" width="43.83203125" customWidth="1"/>
  </cols>
  <sheetData>
    <row r="1" spans="1:1" s="9" customFormat="1" ht="16" x14ac:dyDescent="0.2">
      <c r="A1" s="9" t="s">
        <v>785</v>
      </c>
    </row>
    <row r="2" spans="1:1" s="1" customFormat="1" x14ac:dyDescent="0.15">
      <c r="A2" s="1" t="s">
        <v>768</v>
      </c>
    </row>
    <row r="3" spans="1:1" x14ac:dyDescent="0.15">
      <c r="A3" t="s">
        <v>805</v>
      </c>
    </row>
    <row r="4" spans="1:1" x14ac:dyDescent="0.15">
      <c r="A4" t="s">
        <v>797</v>
      </c>
    </row>
    <row r="5" spans="1:1" x14ac:dyDescent="0.15">
      <c r="A5" t="s">
        <v>801</v>
      </c>
    </row>
    <row r="6" spans="1:1" x14ac:dyDescent="0.15">
      <c r="A6" t="s">
        <v>794</v>
      </c>
    </row>
    <row r="7" spans="1:1" x14ac:dyDescent="0.15">
      <c r="A7" t="s">
        <v>772</v>
      </c>
    </row>
    <row r="8" spans="1:1" x14ac:dyDescent="0.15">
      <c r="A8" t="s">
        <v>766</v>
      </c>
    </row>
    <row r="9" spans="1:1" x14ac:dyDescent="0.15">
      <c r="A9" t="s">
        <v>799</v>
      </c>
    </row>
    <row r="10" spans="1:1" x14ac:dyDescent="0.15">
      <c r="A10" t="s">
        <v>745</v>
      </c>
    </row>
    <row r="11" spans="1:1" x14ac:dyDescent="0.15">
      <c r="A11" t="s">
        <v>721</v>
      </c>
    </row>
    <row r="12" spans="1:1" x14ac:dyDescent="0.15">
      <c r="A12" t="s">
        <v>770</v>
      </c>
    </row>
    <row r="13" spans="1:1" x14ac:dyDescent="0.15">
      <c r="A13" t="s">
        <v>719</v>
      </c>
    </row>
    <row r="18" spans="2:2" x14ac:dyDescent="0.15">
      <c r="B18" s="1" t="s">
        <v>758</v>
      </c>
    </row>
    <row r="19" spans="2:2" x14ac:dyDescent="0.15">
      <c r="B19" t="s">
        <v>808</v>
      </c>
    </row>
    <row r="20" spans="2:2" x14ac:dyDescent="0.15">
      <c r="B20" t="s">
        <v>809</v>
      </c>
    </row>
    <row r="21" spans="2:2" x14ac:dyDescent="0.15">
      <c r="B21" t="s">
        <v>817</v>
      </c>
    </row>
    <row r="22" spans="2:2" x14ac:dyDescent="0.15">
      <c r="B22" t="s">
        <v>818</v>
      </c>
    </row>
    <row r="23" spans="2:2" x14ac:dyDescent="0.15">
      <c r="B23" t="s">
        <v>759</v>
      </c>
    </row>
    <row r="24" spans="2:2" x14ac:dyDescent="0.15">
      <c r="B24" t="s">
        <v>760</v>
      </c>
    </row>
    <row r="25" spans="2:2" x14ac:dyDescent="0.15">
      <c r="B25" t="s">
        <v>755</v>
      </c>
    </row>
  </sheetData>
  <phoneticPr fontId="0" type="noConversion"/>
  <pageMargins left="0.7" right="0.7" top="0.75" bottom="0.75" header="0.5" footer="0.5"/>
  <pageSetup paperSize="0"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3"/>
  <sheetViews>
    <sheetView workbookViewId="0">
      <selection activeCell="B27" sqref="B27"/>
    </sheetView>
  </sheetViews>
  <sheetFormatPr baseColWidth="10" defaultColWidth="11" defaultRowHeight="13" x14ac:dyDescent="0.15"/>
  <cols>
    <col min="1" max="1" width="30.1640625" customWidth="1"/>
    <col min="2" max="2" width="13.6640625" customWidth="1"/>
    <col min="3" max="3" width="21.5" customWidth="1"/>
    <col min="4" max="6" width="11" customWidth="1"/>
    <col min="7" max="7" width="21" customWidth="1"/>
  </cols>
  <sheetData>
    <row r="1" spans="1:7" s="6" customFormat="1" x14ac:dyDescent="0.15">
      <c r="A1" s="6" t="s">
        <v>787</v>
      </c>
      <c r="B1" s="6" t="s">
        <v>788</v>
      </c>
      <c r="C1" s="6" t="s">
        <v>789</v>
      </c>
      <c r="D1" s="6" t="s">
        <v>790</v>
      </c>
      <c r="E1" s="6" t="s">
        <v>791</v>
      </c>
      <c r="F1" s="6" t="s">
        <v>792</v>
      </c>
      <c r="G1" s="6" t="s">
        <v>795</v>
      </c>
    </row>
    <row r="2" spans="1:7" s="1" customFormat="1" x14ac:dyDescent="0.15">
      <c r="A2" s="1" t="s">
        <v>793</v>
      </c>
      <c r="B2" s="7" t="s">
        <v>794</v>
      </c>
      <c r="C2" s="8">
        <v>8642</v>
      </c>
      <c r="D2" s="1">
        <v>3.1</v>
      </c>
      <c r="E2" s="1">
        <v>16.899999999999999</v>
      </c>
      <c r="F2" s="1">
        <v>7.2</v>
      </c>
      <c r="G2" s="1">
        <v>5085</v>
      </c>
    </row>
    <row r="3" spans="1:7" x14ac:dyDescent="0.15">
      <c r="A3" t="s">
        <v>796</v>
      </c>
      <c r="B3" s="2" t="s">
        <v>797</v>
      </c>
      <c r="C3" s="3">
        <v>8372</v>
      </c>
      <c r="D3">
        <v>2.8</v>
      </c>
      <c r="E3">
        <v>18.399999999999999</v>
      </c>
      <c r="F3">
        <v>7.5</v>
      </c>
      <c r="G3">
        <v>4544</v>
      </c>
    </row>
    <row r="4" spans="1:7" x14ac:dyDescent="0.15">
      <c r="A4" t="s">
        <v>798</v>
      </c>
      <c r="B4" s="2" t="s">
        <v>799</v>
      </c>
      <c r="C4" s="3">
        <v>8246</v>
      </c>
      <c r="D4">
        <v>3</v>
      </c>
      <c r="E4">
        <v>16.2</v>
      </c>
      <c r="F4">
        <v>6.5</v>
      </c>
      <c r="G4">
        <v>4447</v>
      </c>
    </row>
    <row r="5" spans="1:7" x14ac:dyDescent="0.15">
      <c r="A5" t="s">
        <v>800</v>
      </c>
      <c r="B5" s="2" t="s">
        <v>801</v>
      </c>
      <c r="C5" s="3">
        <v>8240</v>
      </c>
      <c r="D5">
        <v>2.9</v>
      </c>
      <c r="E5">
        <v>14.7</v>
      </c>
      <c r="F5">
        <v>8.6</v>
      </c>
      <c r="G5">
        <v>4543</v>
      </c>
    </row>
    <row r="6" spans="1:7" x14ac:dyDescent="0.15">
      <c r="A6" t="s">
        <v>802</v>
      </c>
      <c r="B6" s="2" t="s">
        <v>803</v>
      </c>
      <c r="C6" s="3">
        <v>7970</v>
      </c>
      <c r="D6">
        <v>2.9</v>
      </c>
      <c r="E6">
        <v>15.5</v>
      </c>
      <c r="F6">
        <v>7.4</v>
      </c>
      <c r="G6">
        <v>4341</v>
      </c>
    </row>
    <row r="7" spans="1:7" x14ac:dyDescent="0.15">
      <c r="A7" t="s">
        <v>804</v>
      </c>
      <c r="B7" s="2" t="s">
        <v>805</v>
      </c>
      <c r="C7" s="3">
        <v>7834</v>
      </c>
      <c r="D7">
        <v>2.6</v>
      </c>
      <c r="E7">
        <v>18.8</v>
      </c>
      <c r="F7">
        <v>5.8</v>
      </c>
      <c r="G7">
        <v>4350</v>
      </c>
    </row>
    <row r="8" spans="1:7" x14ac:dyDescent="0.15">
      <c r="A8" t="s">
        <v>806</v>
      </c>
      <c r="B8" s="2" t="s">
        <v>766</v>
      </c>
      <c r="C8" s="3">
        <v>7823</v>
      </c>
      <c r="D8">
        <v>2.8</v>
      </c>
      <c r="E8">
        <v>16</v>
      </c>
      <c r="F8">
        <v>7.8</v>
      </c>
      <c r="G8">
        <v>4358</v>
      </c>
    </row>
    <row r="9" spans="1:7" x14ac:dyDescent="0.15">
      <c r="A9" t="s">
        <v>767</v>
      </c>
      <c r="B9" s="2" t="s">
        <v>768</v>
      </c>
      <c r="C9" s="3">
        <v>7746</v>
      </c>
      <c r="D9">
        <v>2.9</v>
      </c>
      <c r="E9">
        <v>14.1</v>
      </c>
      <c r="F9">
        <v>7.2</v>
      </c>
      <c r="G9">
        <v>4132</v>
      </c>
    </row>
    <row r="10" spans="1:7" x14ac:dyDescent="0.15">
      <c r="A10" t="s">
        <v>769</v>
      </c>
      <c r="B10" s="2" t="s">
        <v>770</v>
      </c>
      <c r="C10" s="3">
        <v>7456</v>
      </c>
      <c r="D10">
        <v>2.8</v>
      </c>
      <c r="E10">
        <v>14</v>
      </c>
      <c r="F10">
        <v>7.8</v>
      </c>
      <c r="G10">
        <v>3967</v>
      </c>
    </row>
    <row r="11" spans="1:7" x14ac:dyDescent="0.15">
      <c r="A11" t="s">
        <v>771</v>
      </c>
      <c r="B11" s="2" t="s">
        <v>772</v>
      </c>
      <c r="C11" s="3">
        <v>7075</v>
      </c>
      <c r="D11">
        <v>2.6</v>
      </c>
      <c r="E11">
        <v>12.9</v>
      </c>
      <c r="F11">
        <v>7.3</v>
      </c>
      <c r="G11">
        <v>3965</v>
      </c>
    </row>
    <row r="12" spans="1:7" x14ac:dyDescent="0.15">
      <c r="A12" t="s">
        <v>718</v>
      </c>
      <c r="B12" s="2" t="s">
        <v>719</v>
      </c>
      <c r="C12" s="3">
        <v>7068</v>
      </c>
      <c r="D12">
        <v>2.8</v>
      </c>
      <c r="E12">
        <v>13.3</v>
      </c>
      <c r="F12">
        <v>6</v>
      </c>
      <c r="G12">
        <v>3868</v>
      </c>
    </row>
    <row r="13" spans="1:7" x14ac:dyDescent="0.15">
      <c r="A13" t="s">
        <v>720</v>
      </c>
      <c r="B13" s="2" t="s">
        <v>721</v>
      </c>
      <c r="C13" s="3">
        <v>6244</v>
      </c>
      <c r="D13">
        <v>2.6</v>
      </c>
      <c r="E13">
        <v>12.5</v>
      </c>
      <c r="F13">
        <v>5.2</v>
      </c>
      <c r="G13">
        <v>3614</v>
      </c>
    </row>
    <row r="21" spans="1:1" x14ac:dyDescent="0.15">
      <c r="A21" s="1" t="s">
        <v>671</v>
      </c>
    </row>
    <row r="22" spans="1:1" x14ac:dyDescent="0.15">
      <c r="A22" t="s">
        <v>761</v>
      </c>
    </row>
    <row r="23" spans="1:1" x14ac:dyDescent="0.15">
      <c r="A23" t="s">
        <v>821</v>
      </c>
    </row>
  </sheetData>
  <phoneticPr fontId="0" type="noConversion"/>
  <pageMargins left="0.7" right="0.7" top="0.75" bottom="0.75" header="0.5" footer="0.5"/>
  <pageSetup paperSize="0"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0"/>
  <sheetViews>
    <sheetView workbookViewId="0">
      <selection activeCell="C10" sqref="C10"/>
    </sheetView>
  </sheetViews>
  <sheetFormatPr baseColWidth="10" defaultColWidth="11" defaultRowHeight="13" x14ac:dyDescent="0.15"/>
  <cols>
    <col min="1" max="1" width="22.6640625" customWidth="1"/>
    <col min="2" max="2" width="22.83203125" customWidth="1"/>
  </cols>
  <sheetData>
    <row r="1" spans="1:7" s="6" customFormat="1" x14ac:dyDescent="0.15">
      <c r="A1" s="6" t="s">
        <v>787</v>
      </c>
      <c r="B1" s="6" t="s">
        <v>788</v>
      </c>
      <c r="C1" s="6" t="s">
        <v>789</v>
      </c>
      <c r="D1" s="6" t="s">
        <v>790</v>
      </c>
      <c r="E1" s="6" t="s">
        <v>791</v>
      </c>
      <c r="F1" s="6" t="s">
        <v>792</v>
      </c>
      <c r="G1" s="6" t="s">
        <v>795</v>
      </c>
    </row>
    <row r="2" spans="1:7" s="1" customFormat="1" x14ac:dyDescent="0.15">
      <c r="A2" s="1" t="s">
        <v>722</v>
      </c>
      <c r="B2" s="7" t="s">
        <v>768</v>
      </c>
      <c r="C2" s="8">
        <v>8778</v>
      </c>
      <c r="D2" s="1">
        <v>3</v>
      </c>
      <c r="E2" s="1">
        <v>15.5</v>
      </c>
      <c r="F2" s="1">
        <v>10.3</v>
      </c>
      <c r="G2" s="1">
        <v>5042</v>
      </c>
    </row>
    <row r="3" spans="1:7" x14ac:dyDescent="0.15">
      <c r="A3" t="s">
        <v>804</v>
      </c>
      <c r="B3" s="2" t="s">
        <v>805</v>
      </c>
      <c r="C3" s="3">
        <v>8557</v>
      </c>
      <c r="D3">
        <v>2.8</v>
      </c>
      <c r="E3">
        <v>18.100000000000001</v>
      </c>
      <c r="F3">
        <v>7.5</v>
      </c>
      <c r="G3">
        <v>4642</v>
      </c>
    </row>
    <row r="4" spans="1:7" x14ac:dyDescent="0.15">
      <c r="A4" t="s">
        <v>723</v>
      </c>
      <c r="B4" s="2" t="s">
        <v>770</v>
      </c>
      <c r="C4" s="3">
        <v>8330</v>
      </c>
      <c r="D4">
        <v>2.7</v>
      </c>
      <c r="E4">
        <v>18.600000000000001</v>
      </c>
      <c r="F4">
        <v>8</v>
      </c>
      <c r="G4">
        <v>4518</v>
      </c>
    </row>
    <row r="5" spans="1:7" x14ac:dyDescent="0.15">
      <c r="A5" t="s">
        <v>724</v>
      </c>
      <c r="B5" s="2" t="s">
        <v>801</v>
      </c>
      <c r="C5" s="3">
        <v>8165</v>
      </c>
      <c r="D5">
        <v>2.9</v>
      </c>
      <c r="E5">
        <v>15.5</v>
      </c>
      <c r="F5">
        <v>8.3000000000000007</v>
      </c>
      <c r="G5">
        <v>4546</v>
      </c>
    </row>
    <row r="6" spans="1:7" x14ac:dyDescent="0.15">
      <c r="A6" t="s">
        <v>796</v>
      </c>
      <c r="B6" s="2" t="s">
        <v>797</v>
      </c>
      <c r="C6" s="3">
        <v>8127</v>
      </c>
      <c r="D6">
        <v>2.9</v>
      </c>
      <c r="E6">
        <v>15.7</v>
      </c>
      <c r="F6">
        <v>7.8</v>
      </c>
      <c r="G6">
        <v>4799</v>
      </c>
    </row>
    <row r="7" spans="1:7" x14ac:dyDescent="0.15">
      <c r="A7" t="s">
        <v>793</v>
      </c>
      <c r="B7" s="2" t="s">
        <v>794</v>
      </c>
      <c r="C7" s="3">
        <v>7881</v>
      </c>
      <c r="D7">
        <v>2.7</v>
      </c>
      <c r="E7">
        <v>17.399999999999999</v>
      </c>
      <c r="F7">
        <v>6.9</v>
      </c>
      <c r="G7">
        <v>4590</v>
      </c>
    </row>
    <row r="8" spans="1:7" x14ac:dyDescent="0.15">
      <c r="A8" t="s">
        <v>720</v>
      </c>
      <c r="B8" s="2" t="s">
        <v>721</v>
      </c>
      <c r="C8" s="3">
        <v>7573</v>
      </c>
      <c r="D8">
        <v>2.7</v>
      </c>
      <c r="E8">
        <v>14.9</v>
      </c>
      <c r="F8">
        <v>8.1999999999999993</v>
      </c>
      <c r="G8">
        <v>4235</v>
      </c>
    </row>
    <row r="9" spans="1:7" x14ac:dyDescent="0.15">
      <c r="A9" t="s">
        <v>725</v>
      </c>
      <c r="B9" s="2" t="s">
        <v>719</v>
      </c>
      <c r="C9" s="3">
        <v>7558</v>
      </c>
      <c r="D9">
        <v>2.6</v>
      </c>
      <c r="E9">
        <v>15</v>
      </c>
      <c r="F9">
        <v>9.6999999999999993</v>
      </c>
      <c r="G9">
        <v>4020</v>
      </c>
    </row>
    <row r="10" spans="1:7" x14ac:dyDescent="0.15">
      <c r="A10" t="s">
        <v>726</v>
      </c>
      <c r="B10" s="2" t="s">
        <v>727</v>
      </c>
      <c r="C10" s="3">
        <v>7434</v>
      </c>
      <c r="D10">
        <v>2.6</v>
      </c>
      <c r="E10">
        <v>17.100000000000001</v>
      </c>
      <c r="F10">
        <v>6.7</v>
      </c>
      <c r="G10">
        <v>4215</v>
      </c>
    </row>
    <row r="11" spans="1:7" x14ac:dyDescent="0.15">
      <c r="A11" t="s">
        <v>802</v>
      </c>
      <c r="B11" s="2" t="s">
        <v>803</v>
      </c>
      <c r="C11" s="3">
        <v>7071</v>
      </c>
      <c r="D11">
        <v>2.8</v>
      </c>
      <c r="E11">
        <v>14.6</v>
      </c>
      <c r="F11">
        <v>6.9</v>
      </c>
      <c r="G11">
        <v>3918</v>
      </c>
    </row>
    <row r="12" spans="1:7" x14ac:dyDescent="0.15">
      <c r="A12" t="s">
        <v>771</v>
      </c>
      <c r="B12" s="2" t="s">
        <v>772</v>
      </c>
      <c r="C12" s="3">
        <v>7034</v>
      </c>
      <c r="D12">
        <v>2.6</v>
      </c>
      <c r="E12">
        <v>12.8</v>
      </c>
      <c r="F12">
        <v>7.5</v>
      </c>
      <c r="G12">
        <v>3713</v>
      </c>
    </row>
    <row r="13" spans="1:7" x14ac:dyDescent="0.15">
      <c r="A13" t="s">
        <v>806</v>
      </c>
      <c r="B13" s="2" t="s">
        <v>766</v>
      </c>
      <c r="C13" s="3">
        <v>6891</v>
      </c>
      <c r="D13">
        <v>2.8</v>
      </c>
      <c r="E13">
        <v>15.3</v>
      </c>
      <c r="F13">
        <v>8.1</v>
      </c>
      <c r="G13">
        <v>4133</v>
      </c>
    </row>
    <row r="18" spans="1:1" x14ac:dyDescent="0.15">
      <c r="A18" s="1" t="s">
        <v>763</v>
      </c>
    </row>
    <row r="19" spans="1:1" x14ac:dyDescent="0.15">
      <c r="A19" t="s">
        <v>777</v>
      </c>
    </row>
    <row r="20" spans="1:1" x14ac:dyDescent="0.15">
      <c r="A20" t="s">
        <v>778</v>
      </c>
    </row>
    <row r="21" spans="1:1" x14ac:dyDescent="0.15">
      <c r="A21" t="s">
        <v>738</v>
      </c>
    </row>
    <row r="23" spans="1:1" x14ac:dyDescent="0.15">
      <c r="A23" s="1" t="s">
        <v>197</v>
      </c>
    </row>
    <row r="25" spans="1:1" x14ac:dyDescent="0.15">
      <c r="A25" t="s">
        <v>198</v>
      </c>
    </row>
    <row r="26" spans="1:1" x14ac:dyDescent="0.15">
      <c r="A26" t="s">
        <v>199</v>
      </c>
    </row>
    <row r="27" spans="1:1" x14ac:dyDescent="0.15">
      <c r="A27" t="s">
        <v>200</v>
      </c>
    </row>
    <row r="28" spans="1:1" x14ac:dyDescent="0.15">
      <c r="A28" t="s">
        <v>201</v>
      </c>
    </row>
    <row r="29" spans="1:1" x14ac:dyDescent="0.15">
      <c r="A29" t="s">
        <v>202</v>
      </c>
    </row>
    <row r="30" spans="1:1" x14ac:dyDescent="0.15">
      <c r="A30" t="s">
        <v>203</v>
      </c>
    </row>
  </sheetData>
  <phoneticPr fontId="0" type="noConversion"/>
  <pageMargins left="0.7" right="0.7" top="0.75" bottom="0.75"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4"/>
  <sheetViews>
    <sheetView workbookViewId="0">
      <selection activeCell="D30" sqref="D30"/>
    </sheetView>
  </sheetViews>
  <sheetFormatPr baseColWidth="10" defaultColWidth="11" defaultRowHeight="13" x14ac:dyDescent="0.15"/>
  <cols>
    <col min="1" max="1" width="20.5" customWidth="1"/>
    <col min="2" max="2" width="13.33203125" customWidth="1"/>
    <col min="3" max="4" width="11" customWidth="1"/>
    <col min="5" max="5" width="13.6640625" customWidth="1"/>
    <col min="6" max="6" width="18" customWidth="1"/>
  </cols>
  <sheetData>
    <row r="1" spans="1:6" x14ac:dyDescent="0.15">
      <c r="A1" s="6" t="s">
        <v>787</v>
      </c>
      <c r="B1" s="6" t="s">
        <v>788</v>
      </c>
      <c r="C1" s="6" t="s">
        <v>789</v>
      </c>
      <c r="D1" s="6" t="s">
        <v>790</v>
      </c>
      <c r="E1" s="6" t="s">
        <v>728</v>
      </c>
      <c r="F1" s="6" t="s">
        <v>795</v>
      </c>
    </row>
    <row r="2" spans="1:6" s="1" customFormat="1" x14ac:dyDescent="0.15">
      <c r="A2" s="1" t="s">
        <v>729</v>
      </c>
      <c r="B2" s="7" t="s">
        <v>730</v>
      </c>
      <c r="C2" s="8">
        <v>8945</v>
      </c>
      <c r="D2" s="1">
        <v>2.9</v>
      </c>
      <c r="E2" s="1">
        <v>13.9</v>
      </c>
      <c r="F2" s="1">
        <v>5368</v>
      </c>
    </row>
    <row r="3" spans="1:6" x14ac:dyDescent="0.15">
      <c r="A3" t="s">
        <v>804</v>
      </c>
      <c r="B3" s="2" t="s">
        <v>805</v>
      </c>
      <c r="C3" s="3">
        <v>8703</v>
      </c>
      <c r="D3">
        <v>3</v>
      </c>
      <c r="E3">
        <v>12.5</v>
      </c>
      <c r="F3">
        <v>5177</v>
      </c>
    </row>
    <row r="4" spans="1:6" x14ac:dyDescent="0.15">
      <c r="A4" t="s">
        <v>723</v>
      </c>
      <c r="B4" s="2" t="s">
        <v>770</v>
      </c>
      <c r="C4" s="3">
        <v>8281</v>
      </c>
      <c r="D4">
        <v>3.2</v>
      </c>
      <c r="E4">
        <v>11.9</v>
      </c>
      <c r="F4">
        <v>4689</v>
      </c>
    </row>
    <row r="5" spans="1:6" x14ac:dyDescent="0.15">
      <c r="A5" t="s">
        <v>731</v>
      </c>
      <c r="B5" s="2" t="s">
        <v>797</v>
      </c>
      <c r="C5" s="3">
        <v>8042</v>
      </c>
      <c r="D5">
        <v>2.8</v>
      </c>
      <c r="E5">
        <v>12.1</v>
      </c>
      <c r="F5">
        <v>4597</v>
      </c>
    </row>
    <row r="6" spans="1:6" x14ac:dyDescent="0.15">
      <c r="A6" t="s">
        <v>732</v>
      </c>
      <c r="B6" s="2" t="s">
        <v>801</v>
      </c>
      <c r="C6" s="3">
        <v>7863</v>
      </c>
      <c r="D6">
        <v>2.9</v>
      </c>
      <c r="E6">
        <v>11</v>
      </c>
      <c r="F6">
        <v>4512</v>
      </c>
    </row>
    <row r="7" spans="1:6" x14ac:dyDescent="0.15">
      <c r="A7" t="s">
        <v>733</v>
      </c>
      <c r="B7" s="2" t="s">
        <v>734</v>
      </c>
      <c r="C7" s="3">
        <v>7803</v>
      </c>
      <c r="D7">
        <v>2.9</v>
      </c>
      <c r="E7">
        <v>11.4</v>
      </c>
      <c r="F7">
        <v>4574</v>
      </c>
    </row>
    <row r="8" spans="1:6" x14ac:dyDescent="0.15">
      <c r="A8" t="s">
        <v>722</v>
      </c>
      <c r="B8" s="2" t="s">
        <v>768</v>
      </c>
      <c r="C8" s="3">
        <v>7628</v>
      </c>
      <c r="D8">
        <v>2.9</v>
      </c>
      <c r="E8">
        <v>9.6</v>
      </c>
      <c r="F8">
        <v>4521</v>
      </c>
    </row>
    <row r="9" spans="1:6" x14ac:dyDescent="0.15">
      <c r="A9" t="s">
        <v>735</v>
      </c>
      <c r="B9" s="2" t="s">
        <v>736</v>
      </c>
      <c r="C9" s="3">
        <v>7475</v>
      </c>
      <c r="D9">
        <v>2.7</v>
      </c>
      <c r="E9">
        <v>12.3</v>
      </c>
      <c r="F9">
        <v>4469</v>
      </c>
    </row>
    <row r="10" spans="1:6" x14ac:dyDescent="0.15">
      <c r="A10" t="s">
        <v>802</v>
      </c>
      <c r="B10" s="2" t="s">
        <v>803</v>
      </c>
      <c r="C10" s="3">
        <v>7468</v>
      </c>
      <c r="D10">
        <v>2.6</v>
      </c>
      <c r="E10">
        <v>12.5</v>
      </c>
      <c r="F10">
        <v>4565</v>
      </c>
    </row>
    <row r="11" spans="1:6" x14ac:dyDescent="0.15">
      <c r="A11" t="s">
        <v>737</v>
      </c>
      <c r="B11" s="2" t="s">
        <v>719</v>
      </c>
      <c r="C11" s="3">
        <v>7455</v>
      </c>
      <c r="D11">
        <v>2.8</v>
      </c>
      <c r="E11">
        <v>12.2</v>
      </c>
      <c r="F11">
        <v>4398</v>
      </c>
    </row>
    <row r="12" spans="1:6" x14ac:dyDescent="0.15">
      <c r="A12" t="s">
        <v>595</v>
      </c>
      <c r="B12" s="2" t="s">
        <v>596</v>
      </c>
      <c r="C12" s="3">
        <v>7380</v>
      </c>
      <c r="D12">
        <v>2.7</v>
      </c>
      <c r="E12">
        <v>10.4</v>
      </c>
      <c r="F12">
        <v>4413</v>
      </c>
    </row>
    <row r="13" spans="1:6" x14ac:dyDescent="0.15">
      <c r="A13" t="s">
        <v>597</v>
      </c>
      <c r="B13" s="2" t="s">
        <v>721</v>
      </c>
      <c r="C13" s="3">
        <v>6945</v>
      </c>
      <c r="D13">
        <v>2.6</v>
      </c>
      <c r="E13">
        <v>10.7</v>
      </c>
      <c r="F13">
        <v>4030</v>
      </c>
    </row>
    <row r="18" spans="1:1" x14ac:dyDescent="0.15">
      <c r="A18" s="1" t="s">
        <v>764</v>
      </c>
    </row>
    <row r="19" spans="1:1" x14ac:dyDescent="0.15">
      <c r="A19" t="s">
        <v>779</v>
      </c>
    </row>
    <row r="20" spans="1:1" x14ac:dyDescent="0.15">
      <c r="A20" t="s">
        <v>815</v>
      </c>
    </row>
    <row r="21" spans="1:1" x14ac:dyDescent="0.15">
      <c r="A21" t="s">
        <v>816</v>
      </c>
    </row>
    <row r="22" spans="1:1" x14ac:dyDescent="0.15">
      <c r="A22" t="s">
        <v>773</v>
      </c>
    </row>
    <row r="23" spans="1:1" x14ac:dyDescent="0.15">
      <c r="A23" t="s">
        <v>774</v>
      </c>
    </row>
    <row r="25" spans="1:1" x14ac:dyDescent="0.15">
      <c r="A25" s="1" t="s">
        <v>256</v>
      </c>
    </row>
    <row r="27" spans="1:1" x14ac:dyDescent="0.15">
      <c r="A27" t="s">
        <v>257</v>
      </c>
    </row>
    <row r="28" spans="1:1" x14ac:dyDescent="0.15">
      <c r="A28" t="s">
        <v>258</v>
      </c>
    </row>
    <row r="30" spans="1:1" x14ac:dyDescent="0.15">
      <c r="A30" t="s">
        <v>259</v>
      </c>
    </row>
    <row r="31" spans="1:1" x14ac:dyDescent="0.15">
      <c r="A31" t="s">
        <v>260</v>
      </c>
    </row>
    <row r="33" spans="1:1" x14ac:dyDescent="0.15">
      <c r="A33" t="s">
        <v>261</v>
      </c>
    </row>
    <row r="34" spans="1:1" x14ac:dyDescent="0.15">
      <c r="A34" t="s">
        <v>181</v>
      </c>
    </row>
    <row r="35" spans="1:1" x14ac:dyDescent="0.15">
      <c r="A35" t="s">
        <v>182</v>
      </c>
    </row>
    <row r="37" spans="1:1" x14ac:dyDescent="0.15">
      <c r="A37" t="s">
        <v>183</v>
      </c>
    </row>
    <row r="38" spans="1:1" x14ac:dyDescent="0.15">
      <c r="A38" t="s">
        <v>184</v>
      </c>
    </row>
    <row r="40" spans="1:1" x14ac:dyDescent="0.15">
      <c r="A40" t="s">
        <v>185</v>
      </c>
    </row>
    <row r="41" spans="1:1" x14ac:dyDescent="0.15">
      <c r="A41" t="s">
        <v>186</v>
      </c>
    </row>
    <row r="43" spans="1:1" x14ac:dyDescent="0.15">
      <c r="A43" t="s">
        <v>187</v>
      </c>
    </row>
    <row r="44" spans="1:1" x14ac:dyDescent="0.15">
      <c r="A44" t="s">
        <v>188</v>
      </c>
    </row>
    <row r="46" spans="1:1" x14ac:dyDescent="0.15">
      <c r="A46" t="s">
        <v>189</v>
      </c>
    </row>
    <row r="47" spans="1:1" x14ac:dyDescent="0.15">
      <c r="A47" t="s">
        <v>190</v>
      </c>
    </row>
    <row r="48" spans="1:1" x14ac:dyDescent="0.15">
      <c r="A48" t="s">
        <v>191</v>
      </c>
    </row>
    <row r="49" spans="1:1" x14ac:dyDescent="0.15">
      <c r="A49" t="s">
        <v>192</v>
      </c>
    </row>
    <row r="50" spans="1:1" x14ac:dyDescent="0.15">
      <c r="A50" t="s">
        <v>193</v>
      </c>
    </row>
    <row r="51" spans="1:1" x14ac:dyDescent="0.15">
      <c r="A51" t="s">
        <v>194</v>
      </c>
    </row>
    <row r="53" spans="1:1" x14ac:dyDescent="0.15">
      <c r="A53" t="s">
        <v>195</v>
      </c>
    </row>
    <row r="54" spans="1:1" x14ac:dyDescent="0.15">
      <c r="A54" t="s">
        <v>196</v>
      </c>
    </row>
  </sheetData>
  <phoneticPr fontId="0" type="noConversion"/>
  <pageMargins left="0.7" right="0.7" top="0.75" bottom="0.75" header="0.5" footer="0.5"/>
  <pageSetup paperSize="0"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4"/>
  <sheetViews>
    <sheetView topLeftCell="A11" workbookViewId="0">
      <selection activeCell="A24" sqref="A24:XFD44"/>
    </sheetView>
  </sheetViews>
  <sheetFormatPr baseColWidth="10" defaultColWidth="11" defaultRowHeight="13" x14ac:dyDescent="0.15"/>
  <cols>
    <col min="1" max="1" width="21.5" customWidth="1"/>
    <col min="2" max="2" width="13.6640625" customWidth="1"/>
    <col min="3" max="3" width="10" customWidth="1"/>
    <col min="4" max="4" width="11.5" customWidth="1"/>
    <col min="5" max="5" width="13.33203125" customWidth="1"/>
    <col min="6" max="6" width="18.1640625" customWidth="1"/>
  </cols>
  <sheetData>
    <row r="1" spans="1:6" s="6" customFormat="1" x14ac:dyDescent="0.15">
      <c r="A1" s="6" t="s">
        <v>787</v>
      </c>
      <c r="B1" s="6" t="s">
        <v>788</v>
      </c>
      <c r="C1" s="6" t="s">
        <v>789</v>
      </c>
      <c r="D1" s="6" t="s">
        <v>790</v>
      </c>
      <c r="E1" s="6" t="s">
        <v>728</v>
      </c>
      <c r="F1" s="6" t="s">
        <v>795</v>
      </c>
    </row>
    <row r="2" spans="1:6" s="1" customFormat="1" x14ac:dyDescent="0.15">
      <c r="A2" s="1" t="s">
        <v>598</v>
      </c>
      <c r="B2" s="7" t="s">
        <v>805</v>
      </c>
      <c r="C2" s="8">
        <v>8950</v>
      </c>
      <c r="D2" s="1">
        <v>2.9</v>
      </c>
      <c r="E2" s="1">
        <v>14</v>
      </c>
      <c r="F2" s="1">
        <v>4733</v>
      </c>
    </row>
    <row r="3" spans="1:6" x14ac:dyDescent="0.15">
      <c r="A3" t="s">
        <v>599</v>
      </c>
      <c r="B3" s="2" t="s">
        <v>768</v>
      </c>
      <c r="C3" s="3">
        <v>8590</v>
      </c>
      <c r="D3">
        <v>3</v>
      </c>
      <c r="E3">
        <v>12.2</v>
      </c>
      <c r="F3">
        <v>4822</v>
      </c>
    </row>
    <row r="4" spans="1:6" x14ac:dyDescent="0.15">
      <c r="A4" t="s">
        <v>600</v>
      </c>
      <c r="B4" s="2" t="s">
        <v>803</v>
      </c>
      <c r="C4" s="3">
        <v>8534</v>
      </c>
      <c r="D4">
        <v>2.9</v>
      </c>
      <c r="E4">
        <v>12.7</v>
      </c>
      <c r="F4">
        <v>4839</v>
      </c>
    </row>
    <row r="5" spans="1:6" x14ac:dyDescent="0.15">
      <c r="A5" t="s">
        <v>601</v>
      </c>
      <c r="B5" s="2" t="s">
        <v>801</v>
      </c>
      <c r="C5" s="3">
        <v>8116</v>
      </c>
      <c r="D5">
        <v>3</v>
      </c>
      <c r="E5">
        <v>10.7</v>
      </c>
      <c r="F5">
        <v>4443</v>
      </c>
    </row>
    <row r="6" spans="1:6" x14ac:dyDescent="0.15">
      <c r="A6" t="s">
        <v>723</v>
      </c>
      <c r="B6" s="2" t="s">
        <v>770</v>
      </c>
      <c r="C6" s="3">
        <v>7991</v>
      </c>
      <c r="D6">
        <v>2.8</v>
      </c>
      <c r="E6">
        <v>12.1</v>
      </c>
      <c r="F6">
        <v>4319</v>
      </c>
    </row>
    <row r="7" spans="1:6" x14ac:dyDescent="0.15">
      <c r="A7" t="s">
        <v>737</v>
      </c>
      <c r="B7" s="2" t="s">
        <v>719</v>
      </c>
      <c r="C7" s="3">
        <v>7881</v>
      </c>
      <c r="D7">
        <v>2.8</v>
      </c>
      <c r="E7">
        <v>11.5</v>
      </c>
      <c r="F7">
        <v>4433</v>
      </c>
    </row>
    <row r="8" spans="1:6" x14ac:dyDescent="0.15">
      <c r="A8" t="s">
        <v>595</v>
      </c>
      <c r="B8" s="2" t="s">
        <v>596</v>
      </c>
      <c r="C8" s="3">
        <v>7799</v>
      </c>
      <c r="D8">
        <v>2.8</v>
      </c>
      <c r="E8">
        <v>11.1</v>
      </c>
      <c r="F8">
        <v>4497</v>
      </c>
    </row>
    <row r="9" spans="1:6" x14ac:dyDescent="0.15">
      <c r="A9" t="s">
        <v>729</v>
      </c>
      <c r="B9" s="2" t="s">
        <v>730</v>
      </c>
      <c r="C9" s="3">
        <v>7695</v>
      </c>
      <c r="D9">
        <v>2.7</v>
      </c>
      <c r="E9">
        <v>11.1</v>
      </c>
      <c r="F9">
        <v>3994</v>
      </c>
    </row>
    <row r="10" spans="1:6" x14ac:dyDescent="0.15">
      <c r="A10" t="s">
        <v>731</v>
      </c>
      <c r="B10" s="2" t="s">
        <v>797</v>
      </c>
      <c r="C10" s="3">
        <v>7584</v>
      </c>
      <c r="D10">
        <v>2.7</v>
      </c>
      <c r="E10">
        <v>10.7</v>
      </c>
      <c r="F10">
        <v>4066</v>
      </c>
    </row>
    <row r="11" spans="1:6" x14ac:dyDescent="0.15">
      <c r="A11" t="s">
        <v>735</v>
      </c>
      <c r="B11" s="2" t="s">
        <v>736</v>
      </c>
      <c r="C11" s="3">
        <v>7308</v>
      </c>
      <c r="D11">
        <v>2.8</v>
      </c>
      <c r="E11">
        <v>10.4</v>
      </c>
      <c r="F11">
        <v>4140</v>
      </c>
    </row>
    <row r="12" spans="1:6" x14ac:dyDescent="0.15">
      <c r="A12" t="s">
        <v>733</v>
      </c>
      <c r="B12" s="2" t="s">
        <v>734</v>
      </c>
      <c r="C12" s="3">
        <v>7220</v>
      </c>
      <c r="D12">
        <v>2.6</v>
      </c>
      <c r="E12">
        <v>10.1</v>
      </c>
      <c r="F12">
        <v>4381</v>
      </c>
    </row>
    <row r="13" spans="1:6" x14ac:dyDescent="0.15">
      <c r="A13" t="s">
        <v>780</v>
      </c>
      <c r="B13" s="2" t="s">
        <v>721</v>
      </c>
      <c r="C13" s="3">
        <v>6817</v>
      </c>
      <c r="D13">
        <v>2.6</v>
      </c>
      <c r="E13">
        <v>9.1999999999999993</v>
      </c>
      <c r="F13">
        <v>4019</v>
      </c>
    </row>
    <row r="18" spans="1:1" x14ac:dyDescent="0.15">
      <c r="A18" s="1" t="s">
        <v>814</v>
      </c>
    </row>
    <row r="19" spans="1:1" x14ac:dyDescent="0.15">
      <c r="A19" t="s">
        <v>775</v>
      </c>
    </row>
    <row r="20" spans="1:1" x14ac:dyDescent="0.15">
      <c r="A20" t="s">
        <v>776</v>
      </c>
    </row>
    <row r="21" spans="1:1" x14ac:dyDescent="0.15">
      <c r="A21" t="s">
        <v>813</v>
      </c>
    </row>
    <row r="24" spans="1:1" x14ac:dyDescent="0.15">
      <c r="A24" s="1" t="s">
        <v>236</v>
      </c>
    </row>
    <row r="26" spans="1:1" x14ac:dyDescent="0.15">
      <c r="A26" t="s">
        <v>237</v>
      </c>
    </row>
    <row r="27" spans="1:1" x14ac:dyDescent="0.15">
      <c r="A27" t="s">
        <v>238</v>
      </c>
    </row>
    <row r="28" spans="1:1" x14ac:dyDescent="0.15">
      <c r="A28" t="s">
        <v>363</v>
      </c>
    </row>
    <row r="29" spans="1:1" x14ac:dyDescent="0.15">
      <c r="A29" t="s">
        <v>239</v>
      </c>
    </row>
    <row r="30" spans="1:1" x14ac:dyDescent="0.15">
      <c r="A30" t="s">
        <v>240</v>
      </c>
    </row>
    <row r="31" spans="1:1" x14ac:dyDescent="0.15">
      <c r="A31" t="s">
        <v>363</v>
      </c>
    </row>
    <row r="32" spans="1:1" x14ac:dyDescent="0.15">
      <c r="A32" t="s">
        <v>241</v>
      </c>
    </row>
    <row r="33" spans="1:1" x14ac:dyDescent="0.15">
      <c r="A33" t="s">
        <v>242</v>
      </c>
    </row>
    <row r="34" spans="1:1" x14ac:dyDescent="0.15">
      <c r="A34" t="s">
        <v>243</v>
      </c>
    </row>
    <row r="35" spans="1:1" x14ac:dyDescent="0.15">
      <c r="A35" t="s">
        <v>244</v>
      </c>
    </row>
    <row r="36" spans="1:1" x14ac:dyDescent="0.15">
      <c r="A36" t="s">
        <v>245</v>
      </c>
    </row>
    <row r="37" spans="1:1" x14ac:dyDescent="0.15">
      <c r="A37" t="s">
        <v>246</v>
      </c>
    </row>
    <row r="38" spans="1:1" x14ac:dyDescent="0.15">
      <c r="A38" t="s">
        <v>247</v>
      </c>
    </row>
    <row r="39" spans="1:1" x14ac:dyDescent="0.15">
      <c r="A39" t="s">
        <v>363</v>
      </c>
    </row>
    <row r="40" spans="1:1" x14ac:dyDescent="0.15">
      <c r="A40" t="s">
        <v>164</v>
      </c>
    </row>
    <row r="41" spans="1:1" x14ac:dyDescent="0.15">
      <c r="A41" t="s">
        <v>165</v>
      </c>
    </row>
    <row r="42" spans="1:1" x14ac:dyDescent="0.15">
      <c r="A42" t="s">
        <v>166</v>
      </c>
    </row>
    <row r="43" spans="1:1" x14ac:dyDescent="0.15">
      <c r="A43" t="s">
        <v>254</v>
      </c>
    </row>
    <row r="44" spans="1:1" x14ac:dyDescent="0.15">
      <c r="A44" t="s">
        <v>255</v>
      </c>
    </row>
  </sheetData>
  <phoneticPr fontId="0" type="noConversion"/>
  <pageMargins left="0.7" right="0.7" top="0.75" bottom="0.75" header="0.5" footer="0.5"/>
  <pageSetup paperSize="0" orientation="portrait" horizontalDpi="4294967292" verticalDpi="429496729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66"/>
  <sheetViews>
    <sheetView topLeftCell="C1" workbookViewId="0">
      <selection activeCell="G21" sqref="G21"/>
    </sheetView>
  </sheetViews>
  <sheetFormatPr baseColWidth="10" defaultColWidth="11" defaultRowHeight="13" x14ac:dyDescent="0.15"/>
  <cols>
    <col min="1" max="1" width="22" customWidth="1"/>
    <col min="2" max="2" width="21.5" customWidth="1"/>
    <col min="3" max="5" width="11" customWidth="1"/>
    <col min="6" max="6" width="18.33203125" customWidth="1"/>
  </cols>
  <sheetData>
    <row r="1" spans="1:6" x14ac:dyDescent="0.15">
      <c r="A1" s="6" t="s">
        <v>787</v>
      </c>
      <c r="B1" s="6" t="s">
        <v>788</v>
      </c>
      <c r="C1" s="6" t="s">
        <v>789</v>
      </c>
      <c r="D1" s="6" t="s">
        <v>790</v>
      </c>
      <c r="E1" s="6" t="s">
        <v>728</v>
      </c>
      <c r="F1" s="6" t="s">
        <v>795</v>
      </c>
    </row>
    <row r="2" spans="1:6" s="1" customFormat="1" x14ac:dyDescent="0.15">
      <c r="A2" s="1" t="s">
        <v>723</v>
      </c>
      <c r="B2" s="7" t="s">
        <v>770</v>
      </c>
      <c r="C2" s="8">
        <v>8795</v>
      </c>
      <c r="D2" s="1">
        <v>2.9</v>
      </c>
      <c r="E2" s="1">
        <v>13.8</v>
      </c>
      <c r="F2" s="1">
        <v>4839</v>
      </c>
    </row>
    <row r="3" spans="1:6" x14ac:dyDescent="0.15">
      <c r="A3" t="s">
        <v>599</v>
      </c>
      <c r="B3" s="2" t="s">
        <v>768</v>
      </c>
      <c r="C3" s="3">
        <v>8551</v>
      </c>
      <c r="D3">
        <v>2.9</v>
      </c>
      <c r="E3">
        <v>13</v>
      </c>
      <c r="F3">
        <v>4613</v>
      </c>
    </row>
    <row r="4" spans="1:6" x14ac:dyDescent="0.15">
      <c r="A4" t="s">
        <v>733</v>
      </c>
      <c r="B4" s="2" t="s">
        <v>734</v>
      </c>
      <c r="C4" s="3">
        <v>8434</v>
      </c>
      <c r="D4">
        <v>2.9</v>
      </c>
      <c r="E4">
        <v>12.2</v>
      </c>
      <c r="F4">
        <v>4542</v>
      </c>
    </row>
    <row r="5" spans="1:6" x14ac:dyDescent="0.15">
      <c r="A5" t="s">
        <v>781</v>
      </c>
      <c r="B5" s="2" t="s">
        <v>805</v>
      </c>
      <c r="C5" s="3">
        <v>8297</v>
      </c>
      <c r="D5">
        <v>2.8</v>
      </c>
      <c r="E5">
        <v>12.8</v>
      </c>
      <c r="F5">
        <v>4215</v>
      </c>
    </row>
    <row r="6" spans="1:6" x14ac:dyDescent="0.15">
      <c r="A6" t="s">
        <v>782</v>
      </c>
      <c r="B6" s="2" t="s">
        <v>721</v>
      </c>
      <c r="C6" s="3">
        <v>8060</v>
      </c>
      <c r="D6">
        <v>2.8</v>
      </c>
      <c r="E6">
        <v>11.5</v>
      </c>
      <c r="F6">
        <v>4494</v>
      </c>
    </row>
    <row r="7" spans="1:6" x14ac:dyDescent="0.15">
      <c r="A7" t="s">
        <v>783</v>
      </c>
      <c r="B7" s="2" t="s">
        <v>801</v>
      </c>
      <c r="C7" s="3">
        <v>7902</v>
      </c>
      <c r="D7">
        <v>2.8</v>
      </c>
      <c r="E7">
        <v>11.2</v>
      </c>
      <c r="F7">
        <v>4528</v>
      </c>
    </row>
    <row r="8" spans="1:6" x14ac:dyDescent="0.15">
      <c r="A8" t="s">
        <v>737</v>
      </c>
      <c r="B8" s="2" t="s">
        <v>719</v>
      </c>
      <c r="C8" s="3">
        <v>7753</v>
      </c>
      <c r="D8">
        <v>2.2999999999999998</v>
      </c>
      <c r="E8">
        <v>13.5</v>
      </c>
      <c r="F8">
        <v>4604</v>
      </c>
    </row>
    <row r="9" spans="1:6" x14ac:dyDescent="0.15">
      <c r="A9" t="s">
        <v>595</v>
      </c>
      <c r="B9" s="2" t="s">
        <v>596</v>
      </c>
      <c r="C9" s="3">
        <v>7382</v>
      </c>
      <c r="D9">
        <v>2.7</v>
      </c>
      <c r="E9">
        <v>10.199999999999999</v>
      </c>
      <c r="F9">
        <v>3780</v>
      </c>
    </row>
    <row r="10" spans="1:6" x14ac:dyDescent="0.15">
      <c r="A10" t="s">
        <v>729</v>
      </c>
      <c r="B10" s="2" t="s">
        <v>730</v>
      </c>
      <c r="C10" s="3">
        <v>7329</v>
      </c>
      <c r="D10">
        <v>2.7</v>
      </c>
      <c r="E10">
        <v>9.8000000000000007</v>
      </c>
      <c r="F10">
        <v>4109</v>
      </c>
    </row>
    <row r="11" spans="1:6" x14ac:dyDescent="0.15">
      <c r="A11" t="s">
        <v>731</v>
      </c>
      <c r="B11" s="2" t="s">
        <v>797</v>
      </c>
      <c r="C11" s="3">
        <v>7293</v>
      </c>
      <c r="D11">
        <v>2.5</v>
      </c>
      <c r="E11">
        <v>11.6</v>
      </c>
      <c r="F11">
        <v>3925</v>
      </c>
    </row>
    <row r="12" spans="1:6" x14ac:dyDescent="0.15">
      <c r="A12" t="s">
        <v>735</v>
      </c>
      <c r="B12" s="2" t="s">
        <v>736</v>
      </c>
      <c r="C12" s="3">
        <v>7005</v>
      </c>
      <c r="D12">
        <v>2.5</v>
      </c>
      <c r="E12">
        <v>10.1</v>
      </c>
      <c r="F12">
        <v>3575</v>
      </c>
    </row>
    <row r="13" spans="1:6" x14ac:dyDescent="0.15">
      <c r="A13" t="s">
        <v>784</v>
      </c>
      <c r="B13" s="2" t="s">
        <v>803</v>
      </c>
      <c r="C13" s="3">
        <v>6855</v>
      </c>
      <c r="D13">
        <v>2.2999999999999998</v>
      </c>
      <c r="E13">
        <v>10.8</v>
      </c>
      <c r="F13">
        <v>3843</v>
      </c>
    </row>
    <row r="17" spans="1:4" x14ac:dyDescent="0.15">
      <c r="A17" s="1" t="s">
        <v>765</v>
      </c>
    </row>
    <row r="18" spans="1:4" x14ac:dyDescent="0.15">
      <c r="A18" t="s">
        <v>753</v>
      </c>
    </row>
    <row r="19" spans="1:4" x14ac:dyDescent="0.15">
      <c r="A19" t="s">
        <v>754</v>
      </c>
    </row>
    <row r="20" spans="1:4" x14ac:dyDescent="0.15">
      <c r="A20" t="s">
        <v>762</v>
      </c>
    </row>
    <row r="22" spans="1:4" x14ac:dyDescent="0.15">
      <c r="A22" s="1" t="s">
        <v>681</v>
      </c>
    </row>
    <row r="23" spans="1:4" x14ac:dyDescent="0.15">
      <c r="A23" t="s">
        <v>359</v>
      </c>
      <c r="D23" t="s">
        <v>360</v>
      </c>
    </row>
    <row r="24" spans="1:4" x14ac:dyDescent="0.15">
      <c r="A24" t="s">
        <v>361</v>
      </c>
      <c r="D24" t="s">
        <v>362</v>
      </c>
    </row>
    <row r="25" spans="1:4" x14ac:dyDescent="0.15">
      <c r="A25" t="s">
        <v>363</v>
      </c>
      <c r="D25" t="s">
        <v>364</v>
      </c>
    </row>
    <row r="26" spans="1:4" x14ac:dyDescent="0.15">
      <c r="A26" t="s">
        <v>365</v>
      </c>
      <c r="D26" t="s">
        <v>248</v>
      </c>
    </row>
    <row r="27" spans="1:4" x14ac:dyDescent="0.15">
      <c r="A27" t="s">
        <v>249</v>
      </c>
      <c r="D27" t="s">
        <v>250</v>
      </c>
    </row>
    <row r="28" spans="1:4" x14ac:dyDescent="0.15">
      <c r="A28" t="s">
        <v>363</v>
      </c>
      <c r="D28" t="s">
        <v>363</v>
      </c>
    </row>
    <row r="29" spans="1:4" x14ac:dyDescent="0.15">
      <c r="A29" t="s">
        <v>251</v>
      </c>
      <c r="D29" t="s">
        <v>252</v>
      </c>
    </row>
    <row r="30" spans="1:4" x14ac:dyDescent="0.15">
      <c r="A30" t="s">
        <v>253</v>
      </c>
      <c r="D30" t="s">
        <v>384</v>
      </c>
    </row>
    <row r="31" spans="1:4" x14ac:dyDescent="0.15">
      <c r="A31" t="s">
        <v>385</v>
      </c>
      <c r="D31" t="s">
        <v>386</v>
      </c>
    </row>
    <row r="32" spans="1:4" x14ac:dyDescent="0.15">
      <c r="A32" t="s">
        <v>387</v>
      </c>
      <c r="D32" t="s">
        <v>388</v>
      </c>
    </row>
    <row r="33" spans="1:4" x14ac:dyDescent="0.15">
      <c r="A33" t="s">
        <v>389</v>
      </c>
      <c r="D33" t="s">
        <v>390</v>
      </c>
    </row>
    <row r="34" spans="1:4" x14ac:dyDescent="0.15">
      <c r="A34" t="s">
        <v>391</v>
      </c>
      <c r="D34" t="s">
        <v>262</v>
      </c>
    </row>
    <row r="35" spans="1:4" x14ac:dyDescent="0.15">
      <c r="A35" t="s">
        <v>263</v>
      </c>
      <c r="D35" t="s">
        <v>363</v>
      </c>
    </row>
    <row r="36" spans="1:4" x14ac:dyDescent="0.15">
      <c r="A36" t="s">
        <v>264</v>
      </c>
      <c r="D36" t="s">
        <v>265</v>
      </c>
    </row>
    <row r="37" spans="1:4" x14ac:dyDescent="0.15">
      <c r="A37" t="s">
        <v>266</v>
      </c>
      <c r="D37" t="s">
        <v>267</v>
      </c>
    </row>
    <row r="38" spans="1:4" x14ac:dyDescent="0.15">
      <c r="A38" t="s">
        <v>268</v>
      </c>
      <c r="D38" t="s">
        <v>363</v>
      </c>
    </row>
    <row r="39" spans="1:4" x14ac:dyDescent="0.15">
      <c r="A39" t="s">
        <v>363</v>
      </c>
      <c r="D39" t="s">
        <v>269</v>
      </c>
    </row>
    <row r="40" spans="1:4" x14ac:dyDescent="0.15">
      <c r="A40" t="s">
        <v>270</v>
      </c>
      <c r="D40" t="s">
        <v>271</v>
      </c>
    </row>
    <row r="41" spans="1:4" x14ac:dyDescent="0.15">
      <c r="A41" t="s">
        <v>272</v>
      </c>
      <c r="D41" t="s">
        <v>273</v>
      </c>
    </row>
    <row r="42" spans="1:4" x14ac:dyDescent="0.15">
      <c r="A42" t="s">
        <v>274</v>
      </c>
      <c r="D42" t="s">
        <v>275</v>
      </c>
    </row>
    <row r="43" spans="1:4" x14ac:dyDescent="0.15">
      <c r="A43" t="s">
        <v>276</v>
      </c>
      <c r="D43" t="s">
        <v>363</v>
      </c>
    </row>
    <row r="44" spans="1:4" x14ac:dyDescent="0.15">
      <c r="A44" t="s">
        <v>277</v>
      </c>
      <c r="D44" t="s">
        <v>278</v>
      </c>
    </row>
    <row r="45" spans="1:4" x14ac:dyDescent="0.15">
      <c r="A45" t="s">
        <v>279</v>
      </c>
      <c r="D45" t="s">
        <v>280</v>
      </c>
    </row>
    <row r="46" spans="1:4" x14ac:dyDescent="0.15">
      <c r="A46" t="s">
        <v>281</v>
      </c>
      <c r="D46" t="s">
        <v>282</v>
      </c>
    </row>
    <row r="47" spans="1:4" x14ac:dyDescent="0.15">
      <c r="A47" t="s">
        <v>283</v>
      </c>
      <c r="D47" t="s">
        <v>363</v>
      </c>
    </row>
    <row r="48" spans="1:4" x14ac:dyDescent="0.15">
      <c r="A48" t="s">
        <v>363</v>
      </c>
      <c r="D48" t="s">
        <v>284</v>
      </c>
    </row>
    <row r="49" spans="1:4" x14ac:dyDescent="0.15">
      <c r="A49" t="s">
        <v>285</v>
      </c>
      <c r="D49" t="s">
        <v>207</v>
      </c>
    </row>
    <row r="50" spans="1:4" x14ac:dyDescent="0.15">
      <c r="A50" t="s">
        <v>208</v>
      </c>
    </row>
    <row r="51" spans="1:4" x14ac:dyDescent="0.15">
      <c r="A51" t="s">
        <v>363</v>
      </c>
    </row>
    <row r="52" spans="1:4" x14ac:dyDescent="0.15">
      <c r="A52" t="s">
        <v>209</v>
      </c>
      <c r="D52" t="s">
        <v>210</v>
      </c>
    </row>
    <row r="53" spans="1:4" x14ac:dyDescent="0.15">
      <c r="A53" t="s">
        <v>211</v>
      </c>
      <c r="D53" t="s">
        <v>212</v>
      </c>
    </row>
    <row r="54" spans="1:4" x14ac:dyDescent="0.15">
      <c r="A54" t="s">
        <v>304</v>
      </c>
      <c r="D54" t="s">
        <v>305</v>
      </c>
    </row>
    <row r="55" spans="1:4" x14ac:dyDescent="0.15">
      <c r="A55" t="s">
        <v>306</v>
      </c>
      <c r="D55" t="s">
        <v>307</v>
      </c>
    </row>
    <row r="56" spans="1:4" x14ac:dyDescent="0.15">
      <c r="A56" t="s">
        <v>308</v>
      </c>
      <c r="D56" t="s">
        <v>309</v>
      </c>
    </row>
    <row r="57" spans="1:4" x14ac:dyDescent="0.15">
      <c r="A57" t="s">
        <v>310</v>
      </c>
      <c r="D57" t="s">
        <v>311</v>
      </c>
    </row>
    <row r="58" spans="1:4" x14ac:dyDescent="0.15">
      <c r="A58" t="s">
        <v>223</v>
      </c>
      <c r="D58" t="s">
        <v>224</v>
      </c>
    </row>
    <row r="59" spans="1:4" x14ac:dyDescent="0.15">
      <c r="A59" t="s">
        <v>225</v>
      </c>
      <c r="D59" t="s">
        <v>226</v>
      </c>
    </row>
    <row r="60" spans="1:4" x14ac:dyDescent="0.15">
      <c r="A60" t="s">
        <v>363</v>
      </c>
      <c r="D60" t="s">
        <v>227</v>
      </c>
    </row>
    <row r="61" spans="1:4" x14ac:dyDescent="0.15">
      <c r="A61" t="s">
        <v>228</v>
      </c>
      <c r="D61" t="s">
        <v>229</v>
      </c>
    </row>
    <row r="62" spans="1:4" x14ac:dyDescent="0.15">
      <c r="A62" t="s">
        <v>230</v>
      </c>
      <c r="D62" t="s">
        <v>231</v>
      </c>
    </row>
    <row r="63" spans="1:4" x14ac:dyDescent="0.15">
      <c r="A63" t="s">
        <v>232</v>
      </c>
      <c r="D63" t="s">
        <v>233</v>
      </c>
    </row>
    <row r="64" spans="1:4" x14ac:dyDescent="0.15">
      <c r="A64" t="s">
        <v>363</v>
      </c>
    </row>
    <row r="65" spans="1:1" x14ac:dyDescent="0.15">
      <c r="A65" t="s">
        <v>234</v>
      </c>
    </row>
    <row r="66" spans="1:1" x14ac:dyDescent="0.15">
      <c r="A66" t="s">
        <v>235</v>
      </c>
    </row>
  </sheetData>
  <phoneticPr fontId="0" type="noConversion"/>
  <pageMargins left="0.7" right="0.7" top="0.75" bottom="0.75" header="0.5" footer="0.5"/>
  <pageSetup paperSize="0" orientation="portrait" horizontalDpi="4294967292" verticalDpi="429496729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31"/>
  <sheetViews>
    <sheetView workbookViewId="0">
      <selection activeCell="B26" sqref="A26:XFD131"/>
    </sheetView>
  </sheetViews>
  <sheetFormatPr baseColWidth="10" defaultColWidth="11" defaultRowHeight="13" x14ac:dyDescent="0.15"/>
  <cols>
    <col min="1" max="1" width="22.1640625" customWidth="1"/>
    <col min="2" max="2" width="21.5" customWidth="1"/>
    <col min="3" max="5" width="11" customWidth="1"/>
    <col min="6" max="6" width="21.5" customWidth="1"/>
  </cols>
  <sheetData>
    <row r="1" spans="1:6" s="6" customFormat="1" x14ac:dyDescent="0.15">
      <c r="A1" s="6" t="s">
        <v>787</v>
      </c>
      <c r="B1" s="6" t="s">
        <v>788</v>
      </c>
      <c r="C1" s="6" t="s">
        <v>789</v>
      </c>
      <c r="D1" s="6" t="s">
        <v>790</v>
      </c>
      <c r="E1" s="6" t="s">
        <v>728</v>
      </c>
      <c r="F1" s="6" t="s">
        <v>795</v>
      </c>
    </row>
    <row r="2" spans="1:6" x14ac:dyDescent="0.15">
      <c r="A2" t="s">
        <v>731</v>
      </c>
      <c r="B2" s="4" t="s">
        <v>797</v>
      </c>
      <c r="C2" s="5">
        <v>8616</v>
      </c>
      <c r="D2">
        <v>2.9</v>
      </c>
      <c r="E2">
        <v>12.8</v>
      </c>
      <c r="F2">
        <v>4809</v>
      </c>
    </row>
    <row r="3" spans="1:6" x14ac:dyDescent="0.15">
      <c r="A3" t="s">
        <v>737</v>
      </c>
      <c r="B3" s="4" t="s">
        <v>719</v>
      </c>
      <c r="C3" s="5">
        <v>8393</v>
      </c>
      <c r="D3">
        <v>3</v>
      </c>
      <c r="E3">
        <v>11.6</v>
      </c>
      <c r="F3">
        <v>4709</v>
      </c>
    </row>
    <row r="4" spans="1:6" x14ac:dyDescent="0.15">
      <c r="A4" t="s">
        <v>810</v>
      </c>
      <c r="B4" s="4" t="s">
        <v>801</v>
      </c>
      <c r="C4" s="5">
        <v>8300</v>
      </c>
      <c r="D4">
        <v>2.9</v>
      </c>
      <c r="E4">
        <v>12.2</v>
      </c>
      <c r="F4">
        <v>4672</v>
      </c>
    </row>
    <row r="5" spans="1:6" x14ac:dyDescent="0.15">
      <c r="A5" t="s">
        <v>784</v>
      </c>
      <c r="B5" s="4" t="s">
        <v>803</v>
      </c>
      <c r="C5" s="5">
        <v>8119</v>
      </c>
      <c r="D5">
        <v>2.8</v>
      </c>
      <c r="E5">
        <v>11.8</v>
      </c>
      <c r="F5">
        <v>4549</v>
      </c>
    </row>
    <row r="6" spans="1:6" x14ac:dyDescent="0.15">
      <c r="A6" t="s">
        <v>729</v>
      </c>
      <c r="B6" s="4" t="s">
        <v>730</v>
      </c>
      <c r="C6" s="5">
        <v>8024</v>
      </c>
      <c r="D6">
        <v>3</v>
      </c>
      <c r="E6">
        <v>10.7</v>
      </c>
      <c r="F6">
        <v>4535</v>
      </c>
    </row>
    <row r="7" spans="1:6" x14ac:dyDescent="0.15">
      <c r="A7" t="s">
        <v>782</v>
      </c>
      <c r="B7" s="4" t="s">
        <v>721</v>
      </c>
      <c r="C7" s="5">
        <v>7799</v>
      </c>
      <c r="D7">
        <v>2.8</v>
      </c>
      <c r="E7">
        <v>11</v>
      </c>
      <c r="F7">
        <v>4231</v>
      </c>
    </row>
    <row r="8" spans="1:6" x14ac:dyDescent="0.15">
      <c r="A8" t="s">
        <v>812</v>
      </c>
      <c r="B8" s="4" t="s">
        <v>805</v>
      </c>
      <c r="C8" s="5">
        <v>7793</v>
      </c>
      <c r="D8">
        <v>2.9</v>
      </c>
      <c r="E8">
        <v>10.5</v>
      </c>
      <c r="F8">
        <v>4139</v>
      </c>
    </row>
    <row r="9" spans="1:6" x14ac:dyDescent="0.15">
      <c r="A9" t="s">
        <v>733</v>
      </c>
      <c r="B9" s="4" t="s">
        <v>734</v>
      </c>
      <c r="C9" s="5">
        <v>7779</v>
      </c>
      <c r="D9">
        <v>2.7</v>
      </c>
      <c r="E9">
        <v>11.2</v>
      </c>
      <c r="F9">
        <v>4180</v>
      </c>
    </row>
    <row r="10" spans="1:6" x14ac:dyDescent="0.15">
      <c r="A10" t="s">
        <v>599</v>
      </c>
      <c r="B10" s="4" t="s">
        <v>768</v>
      </c>
      <c r="C10" s="5">
        <v>7772</v>
      </c>
      <c r="D10">
        <v>2.8</v>
      </c>
      <c r="E10">
        <v>10.7</v>
      </c>
      <c r="F10">
        <v>4386</v>
      </c>
    </row>
    <row r="11" spans="1:6" x14ac:dyDescent="0.15">
      <c r="A11" t="s">
        <v>811</v>
      </c>
      <c r="B11" s="4" t="s">
        <v>736</v>
      </c>
      <c r="C11" s="5">
        <v>7734</v>
      </c>
      <c r="D11">
        <v>2.7</v>
      </c>
      <c r="E11">
        <v>11.3</v>
      </c>
      <c r="F11">
        <v>4617</v>
      </c>
    </row>
    <row r="12" spans="1:6" x14ac:dyDescent="0.15">
      <c r="A12" t="s">
        <v>595</v>
      </c>
      <c r="B12" s="4" t="s">
        <v>596</v>
      </c>
      <c r="C12" s="5">
        <v>7255</v>
      </c>
      <c r="D12">
        <v>2.7</v>
      </c>
      <c r="E12">
        <v>10.3</v>
      </c>
      <c r="F12">
        <v>3979</v>
      </c>
    </row>
    <row r="13" spans="1:6" x14ac:dyDescent="0.15">
      <c r="A13" t="s">
        <v>723</v>
      </c>
      <c r="B13" s="4" t="s">
        <v>770</v>
      </c>
      <c r="C13" s="5">
        <v>7158</v>
      </c>
      <c r="D13">
        <v>2.9</v>
      </c>
      <c r="E13">
        <v>9.5</v>
      </c>
      <c r="F13">
        <v>3974</v>
      </c>
    </row>
    <row r="21" spans="1:11" x14ac:dyDescent="0.15">
      <c r="A21" s="1" t="s">
        <v>716</v>
      </c>
    </row>
    <row r="22" spans="1:11" x14ac:dyDescent="0.15">
      <c r="A22" t="s">
        <v>717</v>
      </c>
    </row>
    <row r="23" spans="1:11" x14ac:dyDescent="0.15">
      <c r="A23" t="s">
        <v>634</v>
      </c>
    </row>
    <row r="24" spans="1:11" x14ac:dyDescent="0.15">
      <c r="A24" t="s">
        <v>635</v>
      </c>
    </row>
    <row r="26" spans="1:11" x14ac:dyDescent="0.15">
      <c r="A26" s="1" t="s">
        <v>681</v>
      </c>
    </row>
    <row r="28" spans="1:11" x14ac:dyDescent="0.15">
      <c r="A28" s="95" t="s">
        <v>445</v>
      </c>
      <c r="B28" s="95"/>
      <c r="C28" s="95"/>
      <c r="D28" s="95"/>
      <c r="E28" s="95"/>
      <c r="F28" s="95"/>
      <c r="G28" s="95"/>
      <c r="H28" s="95"/>
      <c r="I28" s="95"/>
      <c r="J28" s="95"/>
      <c r="K28" s="95"/>
    </row>
    <row r="29" spans="1:11" x14ac:dyDescent="0.15">
      <c r="A29" s="95" t="s">
        <v>446</v>
      </c>
      <c r="B29" s="95" t="s">
        <v>447</v>
      </c>
      <c r="C29" s="95" t="s">
        <v>448</v>
      </c>
      <c r="D29" s="95" t="s">
        <v>449</v>
      </c>
      <c r="E29" s="95" t="s">
        <v>450</v>
      </c>
      <c r="F29" s="95" t="s">
        <v>451</v>
      </c>
      <c r="G29" s="95" t="s">
        <v>452</v>
      </c>
      <c r="H29" s="95" t="s">
        <v>453</v>
      </c>
      <c r="I29" s="95"/>
      <c r="J29" s="95"/>
      <c r="K29" s="95"/>
    </row>
    <row r="30" spans="1:11" x14ac:dyDescent="0.15">
      <c r="A30" s="95" t="s">
        <v>454</v>
      </c>
      <c r="B30" s="95" t="s">
        <v>455</v>
      </c>
      <c r="C30" s="95" t="s">
        <v>456</v>
      </c>
      <c r="D30" s="95"/>
      <c r="E30" s="95"/>
      <c r="F30" s="95"/>
      <c r="G30" s="95"/>
      <c r="H30" s="95"/>
      <c r="I30" s="95"/>
      <c r="J30" s="95"/>
      <c r="K30" s="95"/>
    </row>
    <row r="31" spans="1:11" x14ac:dyDescent="0.15">
      <c r="A31" s="94">
        <v>38946</v>
      </c>
      <c r="B31" s="95" t="s">
        <v>686</v>
      </c>
      <c r="C31" s="95" t="s">
        <v>457</v>
      </c>
      <c r="D31" s="95" t="s">
        <v>688</v>
      </c>
      <c r="E31" s="95" t="s">
        <v>570</v>
      </c>
      <c r="F31" s="95" t="s">
        <v>458</v>
      </c>
      <c r="G31" s="95" t="s">
        <v>459</v>
      </c>
      <c r="H31" s="95">
        <v>9</v>
      </c>
      <c r="I31" s="95" t="s">
        <v>530</v>
      </c>
      <c r="J31" s="94">
        <v>38945</v>
      </c>
      <c r="K31" s="96">
        <v>0.65833333333333299</v>
      </c>
    </row>
    <row r="32" spans="1:11" x14ac:dyDescent="0.15">
      <c r="A32" s="94">
        <v>38946</v>
      </c>
      <c r="B32" s="95" t="s">
        <v>686</v>
      </c>
      <c r="C32" s="95" t="s">
        <v>531</v>
      </c>
      <c r="D32" s="95" t="s">
        <v>691</v>
      </c>
      <c r="E32" s="95" t="s">
        <v>532</v>
      </c>
      <c r="F32" s="95" t="s">
        <v>458</v>
      </c>
      <c r="G32" s="95" t="s">
        <v>459</v>
      </c>
      <c r="H32" s="95">
        <v>9</v>
      </c>
      <c r="I32" s="95" t="s">
        <v>530</v>
      </c>
      <c r="J32" s="94">
        <v>38945</v>
      </c>
      <c r="K32" s="96">
        <v>0.65833333333333299</v>
      </c>
    </row>
    <row r="33" spans="1:11" x14ac:dyDescent="0.15">
      <c r="A33" s="94">
        <v>38946</v>
      </c>
      <c r="B33" s="95" t="s">
        <v>686</v>
      </c>
      <c r="C33" s="95" t="s">
        <v>460</v>
      </c>
      <c r="D33" s="95" t="s">
        <v>694</v>
      </c>
      <c r="E33" s="95" t="s">
        <v>572</v>
      </c>
      <c r="F33" s="95" t="s">
        <v>458</v>
      </c>
      <c r="G33" s="95" t="s">
        <v>459</v>
      </c>
      <c r="H33" s="95">
        <v>9</v>
      </c>
      <c r="I33" s="95" t="s">
        <v>530</v>
      </c>
      <c r="J33" s="94">
        <v>38945</v>
      </c>
      <c r="K33" s="96">
        <v>0.65833333333333299</v>
      </c>
    </row>
    <row r="34" spans="1:11" x14ac:dyDescent="0.15">
      <c r="A34" s="94">
        <v>38946</v>
      </c>
      <c r="B34" s="95" t="s">
        <v>530</v>
      </c>
      <c r="C34" s="95" t="s">
        <v>516</v>
      </c>
      <c r="D34" s="95" t="s">
        <v>694</v>
      </c>
      <c r="E34" s="95" t="s">
        <v>517</v>
      </c>
      <c r="F34" s="95" t="s">
        <v>458</v>
      </c>
      <c r="G34" s="95" t="s">
        <v>459</v>
      </c>
      <c r="H34" s="95">
        <v>5</v>
      </c>
      <c r="I34" s="95" t="s">
        <v>686</v>
      </c>
      <c r="J34" s="94">
        <v>38945</v>
      </c>
      <c r="K34" s="96">
        <v>0.65833333333333299</v>
      </c>
    </row>
    <row r="35" spans="1:11" x14ac:dyDescent="0.15">
      <c r="A35" s="94">
        <v>38946</v>
      </c>
      <c r="B35" s="95" t="s">
        <v>530</v>
      </c>
      <c r="C35" s="95" t="s">
        <v>461</v>
      </c>
      <c r="D35" s="95" t="s">
        <v>688</v>
      </c>
      <c r="E35" s="95" t="s">
        <v>548</v>
      </c>
      <c r="F35" s="95" t="s">
        <v>459</v>
      </c>
      <c r="G35" s="95" t="s">
        <v>459</v>
      </c>
      <c r="H35" s="95">
        <v>5</v>
      </c>
      <c r="I35" s="95" t="s">
        <v>686</v>
      </c>
      <c r="J35" s="94">
        <v>38945</v>
      </c>
      <c r="K35" s="96">
        <v>0.65833333333333299</v>
      </c>
    </row>
    <row r="36" spans="1:11" x14ac:dyDescent="0.15">
      <c r="A36" s="94">
        <v>38946</v>
      </c>
      <c r="B36" s="95" t="s">
        <v>530</v>
      </c>
      <c r="C36" s="95" t="s">
        <v>462</v>
      </c>
      <c r="D36" s="95" t="s">
        <v>691</v>
      </c>
      <c r="E36" s="95" t="s">
        <v>526</v>
      </c>
      <c r="F36" s="95" t="s">
        <v>459</v>
      </c>
      <c r="G36" s="95" t="s">
        <v>459</v>
      </c>
      <c r="H36" s="95">
        <v>5</v>
      </c>
      <c r="I36" s="95" t="s">
        <v>686</v>
      </c>
      <c r="J36" s="94">
        <v>38945</v>
      </c>
      <c r="K36" s="96">
        <v>0.65833333333333299</v>
      </c>
    </row>
    <row r="37" spans="1:11" x14ac:dyDescent="0.15">
      <c r="A37" s="94">
        <v>38946</v>
      </c>
      <c r="B37" s="95" t="s">
        <v>530</v>
      </c>
      <c r="C37" s="95" t="s">
        <v>463</v>
      </c>
      <c r="D37" s="95" t="s">
        <v>684</v>
      </c>
      <c r="E37" s="95" t="s">
        <v>581</v>
      </c>
      <c r="F37" s="95" t="s">
        <v>458</v>
      </c>
      <c r="G37" s="95" t="s">
        <v>459</v>
      </c>
      <c r="H37" s="95">
        <v>5</v>
      </c>
      <c r="I37" s="95" t="s">
        <v>686</v>
      </c>
      <c r="J37" s="94">
        <v>38945</v>
      </c>
      <c r="K37" s="96">
        <v>0.65833333333333299</v>
      </c>
    </row>
    <row r="38" spans="1:11" x14ac:dyDescent="0.15">
      <c r="A38" s="94">
        <v>38940</v>
      </c>
      <c r="B38" s="95" t="s">
        <v>682</v>
      </c>
      <c r="C38" s="95" t="s">
        <v>286</v>
      </c>
      <c r="D38" s="95" t="s">
        <v>688</v>
      </c>
      <c r="E38" s="95" t="s">
        <v>538</v>
      </c>
      <c r="F38" s="95" t="s">
        <v>458</v>
      </c>
      <c r="G38" s="95" t="s">
        <v>459</v>
      </c>
      <c r="H38" s="95">
        <v>12</v>
      </c>
      <c r="I38" s="95" t="s">
        <v>411</v>
      </c>
      <c r="J38" s="94">
        <v>38939</v>
      </c>
      <c r="K38" s="96">
        <v>0.78819444444444398</v>
      </c>
    </row>
    <row r="39" spans="1:11" x14ac:dyDescent="0.15">
      <c r="A39" s="94">
        <v>38940</v>
      </c>
      <c r="B39" s="95" t="s">
        <v>682</v>
      </c>
      <c r="C39" s="95" t="s">
        <v>287</v>
      </c>
      <c r="D39" s="95" t="s">
        <v>540</v>
      </c>
      <c r="E39" s="95" t="s">
        <v>685</v>
      </c>
      <c r="F39" s="95" t="s">
        <v>459</v>
      </c>
      <c r="G39" s="95" t="s">
        <v>459</v>
      </c>
      <c r="H39" s="95">
        <v>12</v>
      </c>
      <c r="I39" s="95" t="s">
        <v>411</v>
      </c>
      <c r="J39" s="94">
        <v>38939</v>
      </c>
      <c r="K39" s="96">
        <v>0.78819444444444398</v>
      </c>
    </row>
    <row r="40" spans="1:11" x14ac:dyDescent="0.15">
      <c r="A40" s="94">
        <v>38940</v>
      </c>
      <c r="B40" s="95" t="s">
        <v>682</v>
      </c>
      <c r="C40" s="95" t="s">
        <v>288</v>
      </c>
      <c r="D40" s="95" t="s">
        <v>691</v>
      </c>
      <c r="E40" s="95" t="s">
        <v>570</v>
      </c>
      <c r="F40" s="95" t="s">
        <v>458</v>
      </c>
      <c r="G40" s="95" t="s">
        <v>459</v>
      </c>
      <c r="H40" s="95">
        <v>12</v>
      </c>
      <c r="I40" s="95" t="s">
        <v>411</v>
      </c>
      <c r="J40" s="94">
        <v>38939</v>
      </c>
      <c r="K40" s="96">
        <v>0.78819444444444398</v>
      </c>
    </row>
    <row r="41" spans="1:11" x14ac:dyDescent="0.15">
      <c r="A41" s="94">
        <v>38940</v>
      </c>
      <c r="B41" s="95" t="s">
        <v>411</v>
      </c>
      <c r="C41" s="95" t="s">
        <v>544</v>
      </c>
      <c r="D41" s="95" t="s">
        <v>691</v>
      </c>
      <c r="E41" s="95" t="s">
        <v>517</v>
      </c>
      <c r="F41" s="95" t="s">
        <v>458</v>
      </c>
      <c r="G41" s="95" t="s">
        <v>459</v>
      </c>
      <c r="H41" s="95">
        <v>2</v>
      </c>
      <c r="I41" s="95" t="s">
        <v>682</v>
      </c>
      <c r="J41" s="94">
        <v>38939</v>
      </c>
      <c r="K41" s="96">
        <v>0.78819444444444398</v>
      </c>
    </row>
    <row r="42" spans="1:11" x14ac:dyDescent="0.15">
      <c r="A42" s="94">
        <v>38940</v>
      </c>
      <c r="B42" s="95" t="s">
        <v>411</v>
      </c>
      <c r="C42" s="95" t="s">
        <v>289</v>
      </c>
      <c r="D42" s="95" t="s">
        <v>691</v>
      </c>
      <c r="E42" s="95" t="s">
        <v>529</v>
      </c>
      <c r="F42" s="95" t="s">
        <v>458</v>
      </c>
      <c r="G42" s="95" t="s">
        <v>459</v>
      </c>
      <c r="H42" s="95">
        <v>2</v>
      </c>
      <c r="I42" s="95" t="s">
        <v>682</v>
      </c>
      <c r="J42" s="94">
        <v>38939</v>
      </c>
      <c r="K42" s="96">
        <v>0.78819444444444398</v>
      </c>
    </row>
    <row r="43" spans="1:11" x14ac:dyDescent="0.15">
      <c r="A43" s="94">
        <v>38940</v>
      </c>
      <c r="B43" s="95" t="s">
        <v>411</v>
      </c>
      <c r="C43" s="95" t="s">
        <v>290</v>
      </c>
      <c r="D43" s="95" t="s">
        <v>688</v>
      </c>
      <c r="E43" s="95" t="s">
        <v>520</v>
      </c>
      <c r="F43" s="95" t="s">
        <v>458</v>
      </c>
      <c r="G43" s="95" t="s">
        <v>459</v>
      </c>
      <c r="H43" s="95">
        <v>2</v>
      </c>
      <c r="I43" s="95" t="s">
        <v>682</v>
      </c>
      <c r="J43" s="94">
        <v>38939</v>
      </c>
      <c r="K43" s="96">
        <v>0.78819444444444398</v>
      </c>
    </row>
    <row r="44" spans="1:11" x14ac:dyDescent="0.15">
      <c r="A44" s="94">
        <v>38939</v>
      </c>
      <c r="B44" s="95" t="s">
        <v>682</v>
      </c>
      <c r="C44" s="95" t="s">
        <v>291</v>
      </c>
      <c r="D44" s="95" t="s">
        <v>688</v>
      </c>
      <c r="E44" s="95" t="s">
        <v>570</v>
      </c>
      <c r="F44" s="95" t="s">
        <v>459</v>
      </c>
      <c r="G44" s="95" t="s">
        <v>459</v>
      </c>
      <c r="H44" s="95">
        <v>11</v>
      </c>
      <c r="I44" s="95" t="s">
        <v>292</v>
      </c>
      <c r="J44" s="94">
        <v>38938</v>
      </c>
      <c r="K44" s="96">
        <v>0.71111111111111103</v>
      </c>
    </row>
    <row r="45" spans="1:11" x14ac:dyDescent="0.15">
      <c r="A45" s="94">
        <v>38939</v>
      </c>
      <c r="B45" s="95" t="s">
        <v>682</v>
      </c>
      <c r="C45" s="95" t="s">
        <v>293</v>
      </c>
      <c r="D45" s="95" t="s">
        <v>684</v>
      </c>
      <c r="E45" s="95" t="s">
        <v>570</v>
      </c>
      <c r="F45" s="95" t="s">
        <v>458</v>
      </c>
      <c r="G45" s="95" t="s">
        <v>459</v>
      </c>
      <c r="H45" s="95">
        <v>11</v>
      </c>
      <c r="I45" s="95" t="s">
        <v>292</v>
      </c>
      <c r="J45" s="94">
        <v>38938</v>
      </c>
      <c r="K45" s="96">
        <v>0.71111111111111103</v>
      </c>
    </row>
    <row r="46" spans="1:11" x14ac:dyDescent="0.15">
      <c r="A46" s="94">
        <v>38939</v>
      </c>
      <c r="B46" s="95" t="s">
        <v>292</v>
      </c>
      <c r="C46" s="95" t="s">
        <v>294</v>
      </c>
      <c r="D46" s="95" t="s">
        <v>691</v>
      </c>
      <c r="E46" s="95" t="s">
        <v>532</v>
      </c>
      <c r="F46" s="95" t="s">
        <v>459</v>
      </c>
      <c r="G46" s="95" t="s">
        <v>459</v>
      </c>
      <c r="H46" s="95">
        <v>2</v>
      </c>
      <c r="I46" s="95" t="s">
        <v>682</v>
      </c>
      <c r="J46" s="94">
        <v>38938</v>
      </c>
      <c r="K46" s="96">
        <v>0.71111111111111103</v>
      </c>
    </row>
    <row r="47" spans="1:11" x14ac:dyDescent="0.15">
      <c r="A47" s="94">
        <v>38939</v>
      </c>
      <c r="B47" s="95" t="s">
        <v>292</v>
      </c>
      <c r="C47" s="95" t="s">
        <v>371</v>
      </c>
      <c r="D47" s="95" t="s">
        <v>688</v>
      </c>
      <c r="E47" s="95" t="s">
        <v>581</v>
      </c>
      <c r="F47" s="95" t="s">
        <v>458</v>
      </c>
      <c r="G47" s="95" t="s">
        <v>459</v>
      </c>
      <c r="H47" s="95">
        <v>2</v>
      </c>
      <c r="I47" s="95" t="s">
        <v>682</v>
      </c>
      <c r="J47" s="94">
        <v>38938</v>
      </c>
      <c r="K47" s="96">
        <v>0.71111111111111103</v>
      </c>
    </row>
    <row r="48" spans="1:11" x14ac:dyDescent="0.15">
      <c r="A48" s="94">
        <v>38933</v>
      </c>
      <c r="B48" s="95" t="s">
        <v>566</v>
      </c>
      <c r="C48" s="95" t="s">
        <v>295</v>
      </c>
      <c r="D48" s="95" t="s">
        <v>691</v>
      </c>
      <c r="E48" s="95" t="s">
        <v>514</v>
      </c>
      <c r="F48" s="95" t="s">
        <v>459</v>
      </c>
      <c r="G48" s="95" t="s">
        <v>459</v>
      </c>
      <c r="H48" s="95">
        <v>6</v>
      </c>
      <c r="I48" s="95" t="s">
        <v>585</v>
      </c>
      <c r="J48" s="94">
        <v>38933</v>
      </c>
      <c r="K48" s="96">
        <v>0.52708333333333302</v>
      </c>
    </row>
    <row r="49" spans="1:11" x14ac:dyDescent="0.15">
      <c r="A49" s="94">
        <v>38933</v>
      </c>
      <c r="B49" s="95" t="s">
        <v>566</v>
      </c>
      <c r="C49" s="95" t="s">
        <v>296</v>
      </c>
      <c r="D49" s="95" t="s">
        <v>688</v>
      </c>
      <c r="E49" s="95" t="s">
        <v>526</v>
      </c>
      <c r="F49" s="95" t="s">
        <v>458</v>
      </c>
      <c r="G49" s="95" t="s">
        <v>459</v>
      </c>
      <c r="H49" s="95">
        <v>6</v>
      </c>
      <c r="I49" s="95" t="s">
        <v>585</v>
      </c>
      <c r="J49" s="94">
        <v>38933</v>
      </c>
      <c r="K49" s="96">
        <v>0.52708333333333302</v>
      </c>
    </row>
    <row r="50" spans="1:11" x14ac:dyDescent="0.15">
      <c r="A50" s="94">
        <v>38933</v>
      </c>
      <c r="B50" s="95" t="s">
        <v>566</v>
      </c>
      <c r="C50" s="95" t="s">
        <v>297</v>
      </c>
      <c r="D50" s="95" t="s">
        <v>511</v>
      </c>
      <c r="E50" s="95" t="s">
        <v>298</v>
      </c>
      <c r="F50" s="95" t="s">
        <v>458</v>
      </c>
      <c r="G50" s="95" t="s">
        <v>459</v>
      </c>
      <c r="H50" s="95">
        <v>6</v>
      </c>
      <c r="I50" s="95" t="s">
        <v>585</v>
      </c>
      <c r="J50" s="94">
        <v>38933</v>
      </c>
      <c r="K50" s="96">
        <v>0.52708333333333302</v>
      </c>
    </row>
    <row r="51" spans="1:11" x14ac:dyDescent="0.15">
      <c r="A51" s="94">
        <v>38933</v>
      </c>
      <c r="B51" s="95" t="s">
        <v>566</v>
      </c>
      <c r="C51" s="95" t="s">
        <v>299</v>
      </c>
      <c r="D51" s="95" t="s">
        <v>519</v>
      </c>
      <c r="E51" s="95" t="s">
        <v>588</v>
      </c>
      <c r="F51" s="95" t="s">
        <v>459</v>
      </c>
      <c r="G51" s="95" t="s">
        <v>459</v>
      </c>
      <c r="H51" s="95">
        <v>6</v>
      </c>
      <c r="I51" s="95" t="s">
        <v>585</v>
      </c>
      <c r="J51" s="94">
        <v>38933</v>
      </c>
      <c r="K51" s="96">
        <v>0.52708333333333302</v>
      </c>
    </row>
    <row r="52" spans="1:11" x14ac:dyDescent="0.15">
      <c r="A52" s="94">
        <v>38933</v>
      </c>
      <c r="B52" s="95" t="s">
        <v>566</v>
      </c>
      <c r="C52" s="95" t="s">
        <v>589</v>
      </c>
      <c r="D52" s="95" t="s">
        <v>691</v>
      </c>
      <c r="E52" s="95" t="s">
        <v>512</v>
      </c>
      <c r="F52" s="95" t="s">
        <v>459</v>
      </c>
      <c r="G52" s="95" t="s">
        <v>459</v>
      </c>
      <c r="H52" s="95">
        <v>6</v>
      </c>
      <c r="I52" s="95" t="s">
        <v>585</v>
      </c>
      <c r="J52" s="94">
        <v>38933</v>
      </c>
      <c r="K52" s="96">
        <v>0.52708333333333302</v>
      </c>
    </row>
    <row r="53" spans="1:11" x14ac:dyDescent="0.15">
      <c r="A53" s="94">
        <v>38933</v>
      </c>
      <c r="B53" s="95" t="s">
        <v>566</v>
      </c>
      <c r="C53" s="95" t="s">
        <v>300</v>
      </c>
      <c r="D53" s="95" t="s">
        <v>565</v>
      </c>
      <c r="E53" s="95" t="s">
        <v>298</v>
      </c>
      <c r="F53" s="95" t="s">
        <v>458</v>
      </c>
      <c r="G53" s="95" t="s">
        <v>459</v>
      </c>
      <c r="H53" s="95">
        <v>6</v>
      </c>
      <c r="I53" s="95" t="s">
        <v>585</v>
      </c>
      <c r="J53" s="94">
        <v>38933</v>
      </c>
      <c r="K53" s="96">
        <v>0.52708333333333302</v>
      </c>
    </row>
    <row r="54" spans="1:11" x14ac:dyDescent="0.15">
      <c r="A54" s="94">
        <v>38933</v>
      </c>
      <c r="B54" s="95" t="s">
        <v>585</v>
      </c>
      <c r="C54" s="95" t="s">
        <v>562</v>
      </c>
      <c r="D54" s="95" t="s">
        <v>688</v>
      </c>
      <c r="E54" s="95" t="s">
        <v>548</v>
      </c>
      <c r="F54" s="95" t="s">
        <v>458</v>
      </c>
      <c r="G54" s="95" t="s">
        <v>459</v>
      </c>
      <c r="H54" s="95">
        <v>4</v>
      </c>
      <c r="I54" s="95" t="s">
        <v>566</v>
      </c>
      <c r="J54" s="94">
        <v>38933</v>
      </c>
      <c r="K54" s="96">
        <v>0.52708333333333302</v>
      </c>
    </row>
    <row r="55" spans="1:11" x14ac:dyDescent="0.15">
      <c r="A55" s="94">
        <v>38933</v>
      </c>
      <c r="B55" s="95" t="s">
        <v>585</v>
      </c>
      <c r="C55" s="95" t="s">
        <v>422</v>
      </c>
      <c r="D55" s="95" t="s">
        <v>688</v>
      </c>
      <c r="E55" s="95" t="s">
        <v>559</v>
      </c>
      <c r="F55" s="95" t="s">
        <v>458</v>
      </c>
      <c r="G55" s="95" t="s">
        <v>459</v>
      </c>
      <c r="H55" s="95">
        <v>4</v>
      </c>
      <c r="I55" s="95" t="s">
        <v>566</v>
      </c>
      <c r="J55" s="94">
        <v>38933</v>
      </c>
      <c r="K55" s="96">
        <v>0.52708333333333302</v>
      </c>
    </row>
    <row r="56" spans="1:11" x14ac:dyDescent="0.15">
      <c r="A56" s="94">
        <v>38933</v>
      </c>
      <c r="B56" s="95" t="s">
        <v>585</v>
      </c>
      <c r="C56" s="95" t="s">
        <v>301</v>
      </c>
      <c r="D56" s="95" t="s">
        <v>511</v>
      </c>
      <c r="E56" s="95" t="s">
        <v>588</v>
      </c>
      <c r="F56" s="95" t="s">
        <v>458</v>
      </c>
      <c r="G56" s="95" t="s">
        <v>459</v>
      </c>
      <c r="H56" s="95">
        <v>4</v>
      </c>
      <c r="I56" s="95" t="s">
        <v>566</v>
      </c>
      <c r="J56" s="94">
        <v>38933</v>
      </c>
      <c r="K56" s="96">
        <v>0.52708333333333302</v>
      </c>
    </row>
    <row r="57" spans="1:11" x14ac:dyDescent="0.15">
      <c r="A57" s="94">
        <v>38933</v>
      </c>
      <c r="B57" s="95" t="s">
        <v>585</v>
      </c>
      <c r="C57" s="95" t="s">
        <v>302</v>
      </c>
      <c r="D57" s="95" t="s">
        <v>565</v>
      </c>
      <c r="E57" s="95" t="s">
        <v>689</v>
      </c>
      <c r="F57" s="95" t="s">
        <v>458</v>
      </c>
      <c r="G57" s="95" t="s">
        <v>459</v>
      </c>
      <c r="H57" s="95">
        <v>4</v>
      </c>
      <c r="I57" s="95" t="s">
        <v>566</v>
      </c>
      <c r="J57" s="94">
        <v>38933</v>
      </c>
      <c r="K57" s="96">
        <v>0.52708333333333302</v>
      </c>
    </row>
    <row r="58" spans="1:11" x14ac:dyDescent="0.15">
      <c r="A58" s="94">
        <v>38933</v>
      </c>
      <c r="B58" s="95" t="s">
        <v>585</v>
      </c>
      <c r="C58" s="95" t="s">
        <v>576</v>
      </c>
      <c r="D58" s="95" t="s">
        <v>691</v>
      </c>
      <c r="E58" s="95" t="s">
        <v>517</v>
      </c>
      <c r="F58" s="95" t="s">
        <v>458</v>
      </c>
      <c r="G58" s="95" t="s">
        <v>459</v>
      </c>
      <c r="H58" s="95">
        <v>4</v>
      </c>
      <c r="I58" s="95" t="s">
        <v>566</v>
      </c>
      <c r="J58" s="94">
        <v>38933</v>
      </c>
      <c r="K58" s="96">
        <v>0.52708333333333302</v>
      </c>
    </row>
    <row r="59" spans="1:11" x14ac:dyDescent="0.15">
      <c r="A59" s="94">
        <v>38933</v>
      </c>
      <c r="B59" s="95" t="s">
        <v>527</v>
      </c>
      <c r="C59" s="95" t="s">
        <v>303</v>
      </c>
      <c r="D59" s="95" t="s">
        <v>540</v>
      </c>
      <c r="E59" s="95" t="s">
        <v>517</v>
      </c>
      <c r="F59" s="95" t="s">
        <v>458</v>
      </c>
      <c r="G59" s="95" t="s">
        <v>459</v>
      </c>
      <c r="H59" s="95">
        <v>2</v>
      </c>
      <c r="I59" s="95" t="s">
        <v>682</v>
      </c>
      <c r="J59" s="94">
        <v>38933</v>
      </c>
      <c r="K59" s="96">
        <v>0.39722222222222198</v>
      </c>
    </row>
    <row r="60" spans="1:11" x14ac:dyDescent="0.15">
      <c r="A60" s="94">
        <v>38933</v>
      </c>
      <c r="B60" s="95" t="s">
        <v>527</v>
      </c>
      <c r="C60" s="95" t="s">
        <v>687</v>
      </c>
      <c r="D60" s="95" t="s">
        <v>688</v>
      </c>
      <c r="E60" s="95" t="s">
        <v>689</v>
      </c>
      <c r="F60" s="95" t="s">
        <v>458</v>
      </c>
      <c r="G60" s="95" t="s">
        <v>459</v>
      </c>
      <c r="H60" s="95">
        <v>2</v>
      </c>
      <c r="I60" s="95" t="s">
        <v>682</v>
      </c>
      <c r="J60" s="94">
        <v>38933</v>
      </c>
      <c r="K60" s="96">
        <v>0.39722222222222198</v>
      </c>
    </row>
    <row r="61" spans="1:11" x14ac:dyDescent="0.15">
      <c r="A61" s="94">
        <v>38933</v>
      </c>
      <c r="B61" s="95" t="s">
        <v>527</v>
      </c>
      <c r="C61" s="95" t="s">
        <v>490</v>
      </c>
      <c r="D61" s="95" t="s">
        <v>694</v>
      </c>
      <c r="E61" s="95" t="s">
        <v>534</v>
      </c>
      <c r="F61" s="95" t="s">
        <v>458</v>
      </c>
      <c r="G61" s="95" t="s">
        <v>459</v>
      </c>
      <c r="H61" s="95">
        <v>2</v>
      </c>
      <c r="I61" s="95" t="s">
        <v>682</v>
      </c>
      <c r="J61" s="94">
        <v>38933</v>
      </c>
      <c r="K61" s="96">
        <v>0.39722222222222198</v>
      </c>
    </row>
    <row r="62" spans="1:11" x14ac:dyDescent="0.15">
      <c r="A62" s="94">
        <v>38933</v>
      </c>
      <c r="B62" s="95" t="s">
        <v>527</v>
      </c>
      <c r="C62" s="95" t="s">
        <v>491</v>
      </c>
      <c r="D62" s="95" t="s">
        <v>684</v>
      </c>
      <c r="E62" s="95" t="s">
        <v>538</v>
      </c>
      <c r="F62" s="95" t="s">
        <v>458</v>
      </c>
      <c r="G62" s="95" t="s">
        <v>459</v>
      </c>
      <c r="H62" s="95">
        <v>2</v>
      </c>
      <c r="I62" s="95" t="s">
        <v>682</v>
      </c>
      <c r="J62" s="94">
        <v>38933</v>
      </c>
      <c r="K62" s="96">
        <v>0.39722222222222198</v>
      </c>
    </row>
    <row r="63" spans="1:11" x14ac:dyDescent="0.15">
      <c r="A63" s="94">
        <v>38933</v>
      </c>
      <c r="B63" s="95" t="s">
        <v>682</v>
      </c>
      <c r="C63" s="95" t="s">
        <v>492</v>
      </c>
      <c r="D63" s="95" t="s">
        <v>688</v>
      </c>
      <c r="E63" s="95" t="s">
        <v>526</v>
      </c>
      <c r="F63" s="95" t="s">
        <v>458</v>
      </c>
      <c r="G63" s="95" t="s">
        <v>459</v>
      </c>
      <c r="H63" s="95">
        <v>1</v>
      </c>
      <c r="I63" s="95" t="s">
        <v>527</v>
      </c>
      <c r="J63" s="94">
        <v>38933</v>
      </c>
      <c r="K63" s="96">
        <v>0.39722222222222198</v>
      </c>
    </row>
    <row r="64" spans="1:11" x14ac:dyDescent="0.15">
      <c r="A64" s="94">
        <v>38933</v>
      </c>
      <c r="B64" s="95" t="s">
        <v>682</v>
      </c>
      <c r="C64" s="95" t="s">
        <v>493</v>
      </c>
      <c r="D64" s="95" t="s">
        <v>694</v>
      </c>
      <c r="E64" s="95" t="s">
        <v>520</v>
      </c>
      <c r="F64" s="95" t="s">
        <v>459</v>
      </c>
      <c r="G64" s="95" t="s">
        <v>459</v>
      </c>
      <c r="H64" s="95">
        <v>1</v>
      </c>
      <c r="I64" s="95" t="s">
        <v>527</v>
      </c>
      <c r="J64" s="94">
        <v>38933</v>
      </c>
      <c r="K64" s="96">
        <v>0.39722222222222198</v>
      </c>
    </row>
    <row r="65" spans="1:11" x14ac:dyDescent="0.15">
      <c r="A65" s="94">
        <v>38933</v>
      </c>
      <c r="B65" s="95" t="s">
        <v>682</v>
      </c>
      <c r="C65" s="95" t="s">
        <v>494</v>
      </c>
      <c r="D65" s="95" t="s">
        <v>540</v>
      </c>
      <c r="E65" s="95" t="s">
        <v>512</v>
      </c>
      <c r="F65" s="95" t="s">
        <v>459</v>
      </c>
      <c r="G65" s="95" t="s">
        <v>459</v>
      </c>
      <c r="H65" s="95">
        <v>1</v>
      </c>
      <c r="I65" s="95" t="s">
        <v>527</v>
      </c>
      <c r="J65" s="94">
        <v>38933</v>
      </c>
      <c r="K65" s="96">
        <v>0.39722222222222198</v>
      </c>
    </row>
    <row r="66" spans="1:11" x14ac:dyDescent="0.15">
      <c r="A66" s="94">
        <v>38922</v>
      </c>
      <c r="B66" s="95" t="s">
        <v>524</v>
      </c>
      <c r="C66" s="95" t="s">
        <v>435</v>
      </c>
      <c r="D66" s="95" t="s">
        <v>691</v>
      </c>
      <c r="E66" s="95" t="s">
        <v>514</v>
      </c>
      <c r="F66" s="95" t="s">
        <v>459</v>
      </c>
      <c r="G66" s="95" t="s">
        <v>459</v>
      </c>
      <c r="H66" s="95">
        <v>8</v>
      </c>
      <c r="I66" s="95" t="s">
        <v>495</v>
      </c>
      <c r="J66" s="94">
        <v>38922</v>
      </c>
      <c r="K66" s="96">
        <v>0.75138888888888899</v>
      </c>
    </row>
    <row r="67" spans="1:11" x14ac:dyDescent="0.15">
      <c r="A67" s="94">
        <v>38922</v>
      </c>
      <c r="B67" s="95" t="s">
        <v>495</v>
      </c>
      <c r="C67" s="95" t="s">
        <v>439</v>
      </c>
      <c r="D67" s="95" t="s">
        <v>688</v>
      </c>
      <c r="E67" s="95" t="s">
        <v>559</v>
      </c>
      <c r="F67" s="95" t="s">
        <v>458</v>
      </c>
      <c r="G67" s="95" t="s">
        <v>459</v>
      </c>
      <c r="H67" s="95">
        <v>7</v>
      </c>
      <c r="I67" s="95" t="s">
        <v>524</v>
      </c>
      <c r="J67" s="94">
        <v>38922</v>
      </c>
      <c r="K67" s="96">
        <v>0.75138888888888899</v>
      </c>
    </row>
    <row r="68" spans="1:11" x14ac:dyDescent="0.15">
      <c r="A68" s="94">
        <v>38922</v>
      </c>
      <c r="B68" s="95" t="s">
        <v>686</v>
      </c>
      <c r="C68" s="95" t="s">
        <v>421</v>
      </c>
      <c r="D68" s="95" t="s">
        <v>691</v>
      </c>
      <c r="E68" s="95" t="s">
        <v>298</v>
      </c>
      <c r="F68" s="95" t="s">
        <v>458</v>
      </c>
      <c r="G68" s="95" t="s">
        <v>459</v>
      </c>
      <c r="H68" s="95">
        <v>7</v>
      </c>
      <c r="I68" s="95" t="s">
        <v>524</v>
      </c>
      <c r="J68" s="94">
        <v>38922</v>
      </c>
      <c r="K68" s="96">
        <v>0.74097222222222203</v>
      </c>
    </row>
    <row r="69" spans="1:11" x14ac:dyDescent="0.15">
      <c r="A69" s="94">
        <v>38922</v>
      </c>
      <c r="B69" s="95" t="s">
        <v>524</v>
      </c>
      <c r="C69" s="95" t="s">
        <v>496</v>
      </c>
      <c r="D69" s="95" t="s">
        <v>688</v>
      </c>
      <c r="E69" s="95" t="s">
        <v>572</v>
      </c>
      <c r="F69" s="95" t="s">
        <v>459</v>
      </c>
      <c r="G69" s="95" t="s">
        <v>459</v>
      </c>
      <c r="H69" s="95">
        <v>5</v>
      </c>
      <c r="I69" s="95" t="s">
        <v>686</v>
      </c>
      <c r="J69" s="94">
        <v>38922</v>
      </c>
      <c r="K69" s="96">
        <v>0.74097222222222203</v>
      </c>
    </row>
    <row r="70" spans="1:11" x14ac:dyDescent="0.15">
      <c r="A70" s="94">
        <v>38918</v>
      </c>
      <c r="B70" s="95" t="s">
        <v>686</v>
      </c>
      <c r="C70" s="95" t="s">
        <v>497</v>
      </c>
      <c r="D70" s="95" t="s">
        <v>684</v>
      </c>
      <c r="E70" s="95" t="s">
        <v>526</v>
      </c>
      <c r="F70" s="95" t="s">
        <v>458</v>
      </c>
      <c r="G70" s="95" t="s">
        <v>459</v>
      </c>
      <c r="H70" s="95">
        <v>12</v>
      </c>
      <c r="I70" s="95" t="s">
        <v>411</v>
      </c>
      <c r="J70" s="94">
        <v>38917</v>
      </c>
      <c r="K70" s="96">
        <v>0.94444444444444398</v>
      </c>
    </row>
    <row r="71" spans="1:11" x14ac:dyDescent="0.15">
      <c r="A71" s="94">
        <v>38918</v>
      </c>
      <c r="B71" s="95" t="s">
        <v>411</v>
      </c>
      <c r="C71" s="95" t="s">
        <v>457</v>
      </c>
      <c r="D71" s="95" t="s">
        <v>688</v>
      </c>
      <c r="E71" s="95" t="s">
        <v>570</v>
      </c>
      <c r="F71" s="95" t="s">
        <v>458</v>
      </c>
      <c r="G71" s="95" t="s">
        <v>459</v>
      </c>
      <c r="H71" s="95">
        <v>5</v>
      </c>
      <c r="I71" s="95" t="s">
        <v>686</v>
      </c>
      <c r="J71" s="94">
        <v>38917</v>
      </c>
      <c r="K71" s="96">
        <v>0.94444444444444398</v>
      </c>
    </row>
    <row r="72" spans="1:11" x14ac:dyDescent="0.15">
      <c r="A72" s="94">
        <v>38917</v>
      </c>
      <c r="B72" s="95" t="s">
        <v>524</v>
      </c>
      <c r="C72" s="95" t="s">
        <v>498</v>
      </c>
      <c r="D72" s="95" t="s">
        <v>691</v>
      </c>
      <c r="E72" s="95" t="s">
        <v>572</v>
      </c>
      <c r="F72" s="95" t="s">
        <v>458</v>
      </c>
      <c r="G72" s="95" t="s">
        <v>459</v>
      </c>
      <c r="H72" s="95">
        <v>10</v>
      </c>
      <c r="I72" s="95" t="s">
        <v>554</v>
      </c>
      <c r="J72" s="94">
        <v>38917</v>
      </c>
      <c r="K72" s="96">
        <v>2.29166666666667E-2</v>
      </c>
    </row>
    <row r="73" spans="1:11" x14ac:dyDescent="0.15">
      <c r="A73" s="94">
        <v>38917</v>
      </c>
      <c r="B73" s="95" t="s">
        <v>554</v>
      </c>
      <c r="C73" s="95" t="s">
        <v>499</v>
      </c>
      <c r="D73" s="95" t="s">
        <v>694</v>
      </c>
      <c r="E73" s="95" t="s">
        <v>561</v>
      </c>
      <c r="F73" s="95" t="s">
        <v>458</v>
      </c>
      <c r="G73" s="95" t="s">
        <v>459</v>
      </c>
      <c r="H73" s="95">
        <v>7</v>
      </c>
      <c r="I73" s="95" t="s">
        <v>524</v>
      </c>
      <c r="J73" s="94">
        <v>38917</v>
      </c>
      <c r="K73" s="96">
        <v>2.29166666666667E-2</v>
      </c>
    </row>
    <row r="74" spans="1:11" x14ac:dyDescent="0.15">
      <c r="A74" s="94">
        <v>38914</v>
      </c>
      <c r="B74" s="95" t="s">
        <v>682</v>
      </c>
      <c r="C74" s="95" t="s">
        <v>500</v>
      </c>
      <c r="D74" s="95" t="s">
        <v>688</v>
      </c>
      <c r="E74" s="95" t="s">
        <v>520</v>
      </c>
      <c r="F74" s="95" t="s">
        <v>458</v>
      </c>
      <c r="G74" s="95" t="s">
        <v>459</v>
      </c>
      <c r="H74" s="95">
        <v>5</v>
      </c>
      <c r="I74" s="95" t="s">
        <v>686</v>
      </c>
      <c r="J74" s="94">
        <v>38913</v>
      </c>
      <c r="K74" s="96">
        <v>0.594444444444444</v>
      </c>
    </row>
    <row r="75" spans="1:11" x14ac:dyDescent="0.15">
      <c r="A75" s="94">
        <v>38914</v>
      </c>
      <c r="B75" s="95" t="s">
        <v>686</v>
      </c>
      <c r="C75" s="95" t="s">
        <v>586</v>
      </c>
      <c r="D75" s="95" t="s">
        <v>691</v>
      </c>
      <c r="E75" s="95" t="s">
        <v>581</v>
      </c>
      <c r="F75" s="95" t="s">
        <v>459</v>
      </c>
      <c r="G75" s="95" t="s">
        <v>459</v>
      </c>
      <c r="H75" s="95">
        <v>2</v>
      </c>
      <c r="I75" s="95" t="s">
        <v>682</v>
      </c>
      <c r="J75" s="94">
        <v>38913</v>
      </c>
      <c r="K75" s="96">
        <v>0.594444444444444</v>
      </c>
    </row>
    <row r="76" spans="1:11" x14ac:dyDescent="0.15">
      <c r="A76" s="94">
        <v>38913</v>
      </c>
      <c r="B76" s="95" t="s">
        <v>527</v>
      </c>
      <c r="C76" s="95" t="s">
        <v>501</v>
      </c>
      <c r="D76" s="95" t="s">
        <v>688</v>
      </c>
      <c r="E76" s="95" t="s">
        <v>298</v>
      </c>
      <c r="F76" s="95" t="s">
        <v>458</v>
      </c>
      <c r="G76" s="95" t="s">
        <v>459</v>
      </c>
      <c r="H76" s="95">
        <v>4</v>
      </c>
      <c r="I76" s="95" t="s">
        <v>566</v>
      </c>
      <c r="J76" s="94">
        <v>38913</v>
      </c>
      <c r="K76" s="96">
        <v>0.49305555555555602</v>
      </c>
    </row>
    <row r="77" spans="1:11" x14ac:dyDescent="0.15">
      <c r="A77" s="94">
        <v>38913</v>
      </c>
      <c r="B77" s="95" t="s">
        <v>566</v>
      </c>
      <c r="C77" s="95" t="s">
        <v>502</v>
      </c>
      <c r="D77" s="95" t="s">
        <v>684</v>
      </c>
      <c r="E77" s="95" t="s">
        <v>695</v>
      </c>
      <c r="F77" s="95" t="s">
        <v>459</v>
      </c>
      <c r="G77" s="95" t="s">
        <v>459</v>
      </c>
      <c r="H77" s="95">
        <v>1</v>
      </c>
      <c r="I77" s="95" t="s">
        <v>527</v>
      </c>
      <c r="J77" s="94">
        <v>38913</v>
      </c>
      <c r="K77" s="96">
        <v>0.49305555555555602</v>
      </c>
    </row>
    <row r="78" spans="1:11" x14ac:dyDescent="0.15">
      <c r="A78" s="94">
        <v>38910</v>
      </c>
      <c r="B78" s="95" t="s">
        <v>527</v>
      </c>
      <c r="C78" s="95" t="s">
        <v>503</v>
      </c>
      <c r="D78" s="95" t="s">
        <v>688</v>
      </c>
      <c r="E78" s="95" t="s">
        <v>517</v>
      </c>
      <c r="F78" s="95" t="s">
        <v>458</v>
      </c>
      <c r="G78" s="95" t="s">
        <v>459</v>
      </c>
      <c r="H78" s="95">
        <v>10</v>
      </c>
      <c r="I78" s="95" t="s">
        <v>554</v>
      </c>
      <c r="J78" s="94">
        <v>38909</v>
      </c>
      <c r="K78" s="96">
        <v>0.88819444444444395</v>
      </c>
    </row>
    <row r="79" spans="1:11" x14ac:dyDescent="0.15">
      <c r="A79" s="94">
        <v>38910</v>
      </c>
      <c r="B79" s="95" t="s">
        <v>527</v>
      </c>
      <c r="C79" s="95" t="s">
        <v>693</v>
      </c>
      <c r="D79" s="95" t="s">
        <v>694</v>
      </c>
      <c r="E79" s="95" t="s">
        <v>695</v>
      </c>
      <c r="F79" s="95" t="s">
        <v>458</v>
      </c>
      <c r="G79" s="95" t="s">
        <v>459</v>
      </c>
      <c r="H79" s="95">
        <v>10</v>
      </c>
      <c r="I79" s="95" t="s">
        <v>554</v>
      </c>
      <c r="J79" s="94">
        <v>38909</v>
      </c>
      <c r="K79" s="96">
        <v>0.88819444444444395</v>
      </c>
    </row>
    <row r="80" spans="1:11" x14ac:dyDescent="0.15">
      <c r="A80" s="94">
        <v>38910</v>
      </c>
      <c r="B80" s="95" t="s">
        <v>527</v>
      </c>
      <c r="C80" s="95" t="s">
        <v>504</v>
      </c>
      <c r="D80" s="95" t="s">
        <v>565</v>
      </c>
      <c r="E80" s="95" t="s">
        <v>534</v>
      </c>
      <c r="F80" s="95" t="s">
        <v>459</v>
      </c>
      <c r="G80" s="95" t="s">
        <v>459</v>
      </c>
      <c r="H80" s="95">
        <v>10</v>
      </c>
      <c r="I80" s="95" t="s">
        <v>554</v>
      </c>
      <c r="J80" s="94">
        <v>38909</v>
      </c>
      <c r="K80" s="96">
        <v>0.88819444444444395</v>
      </c>
    </row>
    <row r="81" spans="1:11" x14ac:dyDescent="0.15">
      <c r="A81" s="94">
        <v>38910</v>
      </c>
      <c r="B81" s="95" t="s">
        <v>527</v>
      </c>
      <c r="C81" s="95" t="s">
        <v>505</v>
      </c>
      <c r="D81" s="95" t="s">
        <v>684</v>
      </c>
      <c r="E81" s="95" t="s">
        <v>538</v>
      </c>
      <c r="F81" s="95" t="s">
        <v>459</v>
      </c>
      <c r="G81" s="95" t="s">
        <v>459</v>
      </c>
      <c r="H81" s="95">
        <v>10</v>
      </c>
      <c r="I81" s="95" t="s">
        <v>554</v>
      </c>
      <c r="J81" s="94">
        <v>38909</v>
      </c>
      <c r="K81" s="96">
        <v>0.88819444444444395</v>
      </c>
    </row>
    <row r="82" spans="1:11" x14ac:dyDescent="0.15">
      <c r="A82" s="94">
        <v>38910</v>
      </c>
      <c r="B82" s="95" t="s">
        <v>554</v>
      </c>
      <c r="C82" s="95" t="s">
        <v>506</v>
      </c>
      <c r="D82" s="95" t="s">
        <v>565</v>
      </c>
      <c r="E82" s="95" t="s">
        <v>695</v>
      </c>
      <c r="F82" s="95" t="s">
        <v>458</v>
      </c>
      <c r="G82" s="95" t="s">
        <v>459</v>
      </c>
      <c r="H82" s="95">
        <v>1</v>
      </c>
      <c r="I82" s="95" t="s">
        <v>527</v>
      </c>
      <c r="J82" s="94">
        <v>38909</v>
      </c>
      <c r="K82" s="96">
        <v>0.88819444444444395</v>
      </c>
    </row>
    <row r="83" spans="1:11" x14ac:dyDescent="0.15">
      <c r="A83" s="94">
        <v>38910</v>
      </c>
      <c r="B83" s="95" t="s">
        <v>554</v>
      </c>
      <c r="C83" s="95" t="s">
        <v>507</v>
      </c>
      <c r="D83" s="95" t="s">
        <v>688</v>
      </c>
      <c r="E83" s="95" t="s">
        <v>581</v>
      </c>
      <c r="F83" s="95" t="s">
        <v>459</v>
      </c>
      <c r="G83" s="95" t="s">
        <v>459</v>
      </c>
      <c r="H83" s="95">
        <v>1</v>
      </c>
      <c r="I83" s="95" t="s">
        <v>527</v>
      </c>
      <c r="J83" s="94">
        <v>38909</v>
      </c>
      <c r="K83" s="96">
        <v>0.88819444444444395</v>
      </c>
    </row>
    <row r="84" spans="1:11" x14ac:dyDescent="0.15">
      <c r="A84" s="94">
        <v>38910</v>
      </c>
      <c r="B84" s="95" t="s">
        <v>554</v>
      </c>
      <c r="C84" s="95" t="s">
        <v>430</v>
      </c>
      <c r="D84" s="95" t="s">
        <v>688</v>
      </c>
      <c r="E84" s="95" t="s">
        <v>538</v>
      </c>
      <c r="F84" s="95" t="s">
        <v>459</v>
      </c>
      <c r="G84" s="95" t="s">
        <v>459</v>
      </c>
      <c r="H84" s="95">
        <v>1</v>
      </c>
      <c r="I84" s="95" t="s">
        <v>527</v>
      </c>
      <c r="J84" s="94">
        <v>38909</v>
      </c>
      <c r="K84" s="96">
        <v>0.88819444444444395</v>
      </c>
    </row>
    <row r="85" spans="1:11" x14ac:dyDescent="0.15">
      <c r="A85" s="94">
        <v>38908</v>
      </c>
      <c r="B85" s="95" t="s">
        <v>566</v>
      </c>
      <c r="C85" s="95" t="s">
        <v>426</v>
      </c>
      <c r="D85" s="95" t="s">
        <v>540</v>
      </c>
      <c r="E85" s="95" t="s">
        <v>298</v>
      </c>
      <c r="F85" s="95" t="s">
        <v>458</v>
      </c>
      <c r="G85" s="95" t="s">
        <v>459</v>
      </c>
      <c r="H85" s="95">
        <v>8</v>
      </c>
      <c r="I85" s="95" t="s">
        <v>495</v>
      </c>
      <c r="J85" s="94">
        <v>38907</v>
      </c>
      <c r="K85" s="96">
        <v>0.87777777777777799</v>
      </c>
    </row>
    <row r="86" spans="1:11" x14ac:dyDescent="0.15">
      <c r="A86" s="94">
        <v>38908</v>
      </c>
      <c r="B86" s="95" t="s">
        <v>566</v>
      </c>
      <c r="C86" s="95" t="s">
        <v>508</v>
      </c>
      <c r="D86" s="95" t="s">
        <v>688</v>
      </c>
      <c r="E86" s="95" t="s">
        <v>692</v>
      </c>
      <c r="F86" s="95" t="s">
        <v>459</v>
      </c>
      <c r="G86" s="95" t="s">
        <v>459</v>
      </c>
      <c r="H86" s="95">
        <v>8</v>
      </c>
      <c r="I86" s="95" t="s">
        <v>495</v>
      </c>
      <c r="J86" s="94">
        <v>38907</v>
      </c>
      <c r="K86" s="96">
        <v>0.87777777777777799</v>
      </c>
    </row>
    <row r="87" spans="1:11" x14ac:dyDescent="0.15">
      <c r="A87" s="94">
        <v>38908</v>
      </c>
      <c r="B87" s="95" t="s">
        <v>495</v>
      </c>
      <c r="C87" s="95" t="s">
        <v>509</v>
      </c>
      <c r="D87" s="95" t="s">
        <v>691</v>
      </c>
      <c r="E87" s="95" t="s">
        <v>593</v>
      </c>
      <c r="F87" s="95" t="s">
        <v>458</v>
      </c>
      <c r="G87" s="95" t="s">
        <v>459</v>
      </c>
      <c r="H87" s="95">
        <v>4</v>
      </c>
      <c r="I87" s="95" t="s">
        <v>566</v>
      </c>
      <c r="J87" s="94">
        <v>38907</v>
      </c>
      <c r="K87" s="96">
        <v>0.87777777777777799</v>
      </c>
    </row>
    <row r="88" spans="1:11" x14ac:dyDescent="0.15">
      <c r="A88" s="94">
        <v>38908</v>
      </c>
      <c r="B88" s="95" t="s">
        <v>495</v>
      </c>
      <c r="C88" s="95" t="s">
        <v>510</v>
      </c>
      <c r="D88" s="95" t="s">
        <v>540</v>
      </c>
      <c r="E88" s="95" t="s">
        <v>689</v>
      </c>
      <c r="F88" s="95" t="s">
        <v>458</v>
      </c>
      <c r="G88" s="95" t="s">
        <v>459</v>
      </c>
      <c r="H88" s="95">
        <v>4</v>
      </c>
      <c r="I88" s="95" t="s">
        <v>566</v>
      </c>
      <c r="J88" s="94">
        <v>38907</v>
      </c>
      <c r="K88" s="96">
        <v>0.87777777777777799</v>
      </c>
    </row>
    <row r="89" spans="1:11" x14ac:dyDescent="0.15">
      <c r="A89" s="94">
        <v>38891</v>
      </c>
      <c r="B89" s="95" t="s">
        <v>682</v>
      </c>
      <c r="C89" s="95" t="s">
        <v>583</v>
      </c>
      <c r="D89" s="95" t="s">
        <v>688</v>
      </c>
      <c r="E89" s="95" t="s">
        <v>534</v>
      </c>
      <c r="F89" s="95" t="s">
        <v>459</v>
      </c>
      <c r="G89" s="95" t="s">
        <v>459</v>
      </c>
      <c r="H89" s="95">
        <v>6</v>
      </c>
      <c r="I89" s="95" t="s">
        <v>585</v>
      </c>
      <c r="J89" s="94">
        <v>38890</v>
      </c>
      <c r="K89" s="96">
        <v>0.64791666666666703</v>
      </c>
    </row>
    <row r="90" spans="1:11" x14ac:dyDescent="0.15">
      <c r="A90" s="94">
        <v>38891</v>
      </c>
      <c r="B90" s="95" t="s">
        <v>585</v>
      </c>
      <c r="C90" s="95" t="s">
        <v>288</v>
      </c>
      <c r="D90" s="95" t="s">
        <v>691</v>
      </c>
      <c r="E90" s="95" t="s">
        <v>570</v>
      </c>
      <c r="F90" s="95" t="s">
        <v>458</v>
      </c>
      <c r="G90" s="95" t="s">
        <v>459</v>
      </c>
      <c r="H90" s="95">
        <v>2</v>
      </c>
      <c r="I90" s="95" t="s">
        <v>682</v>
      </c>
      <c r="J90" s="94">
        <v>38890</v>
      </c>
      <c r="K90" s="96">
        <v>0.64791666666666703</v>
      </c>
    </row>
    <row r="91" spans="1:11" x14ac:dyDescent="0.15">
      <c r="A91" s="94">
        <v>38850</v>
      </c>
      <c r="B91" s="95" t="s">
        <v>527</v>
      </c>
      <c r="C91" s="95" t="s">
        <v>312</v>
      </c>
      <c r="D91" s="95" t="s">
        <v>540</v>
      </c>
      <c r="E91" s="95" t="s">
        <v>561</v>
      </c>
      <c r="F91" s="95" t="s">
        <v>459</v>
      </c>
      <c r="G91" s="95" t="s">
        <v>459</v>
      </c>
      <c r="H91" s="95">
        <v>12</v>
      </c>
      <c r="I91" s="95" t="s">
        <v>411</v>
      </c>
      <c r="J91" s="94">
        <v>38849</v>
      </c>
      <c r="K91" s="96">
        <v>0.66249999999999998</v>
      </c>
    </row>
    <row r="92" spans="1:11" x14ac:dyDescent="0.15">
      <c r="A92" s="94">
        <v>38850</v>
      </c>
      <c r="B92" s="95" t="s">
        <v>411</v>
      </c>
      <c r="C92" s="95" t="s">
        <v>313</v>
      </c>
      <c r="D92" s="95" t="s">
        <v>691</v>
      </c>
      <c r="E92" s="95" t="s">
        <v>591</v>
      </c>
      <c r="F92" s="95" t="s">
        <v>459</v>
      </c>
      <c r="G92" s="95" t="s">
        <v>459</v>
      </c>
      <c r="H92" s="95">
        <v>1</v>
      </c>
      <c r="I92" s="95" t="s">
        <v>527</v>
      </c>
      <c r="J92" s="94">
        <v>38849</v>
      </c>
      <c r="K92" s="96">
        <v>0.66249999999999998</v>
      </c>
    </row>
    <row r="93" spans="1:11" x14ac:dyDescent="0.15">
      <c r="A93" s="94">
        <v>38840</v>
      </c>
      <c r="B93" s="95" t="s">
        <v>682</v>
      </c>
      <c r="C93" s="95" t="s">
        <v>314</v>
      </c>
      <c r="D93" s="95" t="s">
        <v>688</v>
      </c>
      <c r="E93" s="95" t="s">
        <v>692</v>
      </c>
      <c r="F93" s="95" t="s">
        <v>458</v>
      </c>
      <c r="G93" s="95" t="s">
        <v>459</v>
      </c>
      <c r="H93" s="95">
        <v>10</v>
      </c>
      <c r="I93" s="95" t="s">
        <v>554</v>
      </c>
      <c r="J93" s="94">
        <v>38839</v>
      </c>
      <c r="K93" s="96">
        <v>0.96666666666666701</v>
      </c>
    </row>
    <row r="94" spans="1:11" x14ac:dyDescent="0.15">
      <c r="A94" s="94">
        <v>38840</v>
      </c>
      <c r="B94" s="95" t="s">
        <v>682</v>
      </c>
      <c r="C94" s="95" t="s">
        <v>315</v>
      </c>
      <c r="D94" s="95" t="s">
        <v>694</v>
      </c>
      <c r="E94" s="95" t="s">
        <v>512</v>
      </c>
      <c r="F94" s="95" t="s">
        <v>458</v>
      </c>
      <c r="G94" s="95" t="s">
        <v>459</v>
      </c>
      <c r="H94" s="95">
        <v>10</v>
      </c>
      <c r="I94" s="95" t="s">
        <v>554</v>
      </c>
      <c r="J94" s="94">
        <v>38839</v>
      </c>
      <c r="K94" s="96">
        <v>0.96666666666666701</v>
      </c>
    </row>
    <row r="95" spans="1:11" x14ac:dyDescent="0.15">
      <c r="A95" s="94">
        <v>38840</v>
      </c>
      <c r="B95" s="95" t="s">
        <v>554</v>
      </c>
      <c r="C95" s="95" t="s">
        <v>500</v>
      </c>
      <c r="D95" s="95" t="s">
        <v>688</v>
      </c>
      <c r="E95" s="95" t="s">
        <v>520</v>
      </c>
      <c r="F95" s="95" t="s">
        <v>458</v>
      </c>
      <c r="G95" s="95" t="s">
        <v>459</v>
      </c>
      <c r="H95" s="95">
        <v>2</v>
      </c>
      <c r="I95" s="95" t="s">
        <v>682</v>
      </c>
      <c r="J95" s="94">
        <v>38839</v>
      </c>
      <c r="K95" s="96">
        <v>0.96666666666666701</v>
      </c>
    </row>
    <row r="96" spans="1:11" x14ac:dyDescent="0.15">
      <c r="A96" s="94">
        <v>38840</v>
      </c>
      <c r="B96" s="95" t="s">
        <v>554</v>
      </c>
      <c r="C96" s="95" t="s">
        <v>494</v>
      </c>
      <c r="D96" s="95" t="s">
        <v>540</v>
      </c>
      <c r="E96" s="95" t="s">
        <v>512</v>
      </c>
      <c r="F96" s="95" t="s">
        <v>459</v>
      </c>
      <c r="G96" s="95" t="s">
        <v>459</v>
      </c>
      <c r="H96" s="95">
        <v>2</v>
      </c>
      <c r="I96" s="95" t="s">
        <v>682</v>
      </c>
      <c r="J96" s="94">
        <v>38839</v>
      </c>
      <c r="K96" s="96">
        <v>0.96666666666666701</v>
      </c>
    </row>
    <row r="97" spans="1:11" x14ac:dyDescent="0.15">
      <c r="A97" s="94">
        <v>38830</v>
      </c>
      <c r="B97" s="95" t="s">
        <v>566</v>
      </c>
      <c r="C97" s="95" t="s">
        <v>518</v>
      </c>
      <c r="D97" s="95" t="s">
        <v>519</v>
      </c>
      <c r="E97" s="95" t="s">
        <v>520</v>
      </c>
      <c r="F97" s="95" t="s">
        <v>458</v>
      </c>
      <c r="G97" s="95" t="s">
        <v>459</v>
      </c>
      <c r="H97" s="95">
        <v>5</v>
      </c>
      <c r="I97" s="95" t="s">
        <v>686</v>
      </c>
      <c r="J97" s="94">
        <v>38830</v>
      </c>
      <c r="K97" s="96">
        <v>0.43194444444444402</v>
      </c>
    </row>
    <row r="98" spans="1:11" x14ac:dyDescent="0.15">
      <c r="A98" s="94">
        <v>38830</v>
      </c>
      <c r="B98" s="95" t="s">
        <v>566</v>
      </c>
      <c r="C98" s="95" t="s">
        <v>545</v>
      </c>
      <c r="D98" s="95" t="s">
        <v>691</v>
      </c>
      <c r="E98" s="95" t="s">
        <v>546</v>
      </c>
      <c r="F98" s="95" t="s">
        <v>459</v>
      </c>
      <c r="G98" s="95" t="s">
        <v>459</v>
      </c>
      <c r="H98" s="95">
        <v>5</v>
      </c>
      <c r="I98" s="95" t="s">
        <v>686</v>
      </c>
      <c r="J98" s="94">
        <v>38830</v>
      </c>
      <c r="K98" s="96">
        <v>0.43194444444444402</v>
      </c>
    </row>
    <row r="99" spans="1:11" x14ac:dyDescent="0.15">
      <c r="A99" s="94">
        <v>38830</v>
      </c>
      <c r="B99" s="95" t="s">
        <v>566</v>
      </c>
      <c r="C99" s="95" t="s">
        <v>316</v>
      </c>
      <c r="D99" s="95" t="s">
        <v>540</v>
      </c>
      <c r="E99" s="95" t="s">
        <v>572</v>
      </c>
      <c r="F99" s="95" t="s">
        <v>459</v>
      </c>
      <c r="G99" s="95" t="s">
        <v>459</v>
      </c>
      <c r="H99" s="95">
        <v>5</v>
      </c>
      <c r="I99" s="95" t="s">
        <v>686</v>
      </c>
      <c r="J99" s="94">
        <v>38830</v>
      </c>
      <c r="K99" s="96">
        <v>0.43194444444444402</v>
      </c>
    </row>
    <row r="100" spans="1:11" x14ac:dyDescent="0.15">
      <c r="A100" s="94">
        <v>38830</v>
      </c>
      <c r="B100" s="95" t="s">
        <v>566</v>
      </c>
      <c r="C100" s="95" t="s">
        <v>317</v>
      </c>
      <c r="D100" s="95" t="s">
        <v>688</v>
      </c>
      <c r="E100" s="95" t="s">
        <v>534</v>
      </c>
      <c r="F100" s="95" t="s">
        <v>458</v>
      </c>
      <c r="G100" s="95" t="s">
        <v>459</v>
      </c>
      <c r="H100" s="95">
        <v>5</v>
      </c>
      <c r="I100" s="95" t="s">
        <v>686</v>
      </c>
      <c r="J100" s="94">
        <v>38830</v>
      </c>
      <c r="K100" s="96">
        <v>0.43194444444444402</v>
      </c>
    </row>
    <row r="101" spans="1:11" x14ac:dyDescent="0.15">
      <c r="A101" s="94">
        <v>38830</v>
      </c>
      <c r="B101" s="95" t="s">
        <v>566</v>
      </c>
      <c r="C101" s="95" t="s">
        <v>318</v>
      </c>
      <c r="D101" s="95" t="s">
        <v>511</v>
      </c>
      <c r="E101" s="95" t="s">
        <v>546</v>
      </c>
      <c r="F101" s="95" t="s">
        <v>458</v>
      </c>
      <c r="G101" s="95" t="s">
        <v>459</v>
      </c>
      <c r="H101" s="95">
        <v>5</v>
      </c>
      <c r="I101" s="95" t="s">
        <v>686</v>
      </c>
      <c r="J101" s="94">
        <v>38830</v>
      </c>
      <c r="K101" s="96">
        <v>0.43194444444444402</v>
      </c>
    </row>
    <row r="102" spans="1:11" x14ac:dyDescent="0.15">
      <c r="A102" s="94">
        <v>38830</v>
      </c>
      <c r="B102" s="95" t="s">
        <v>566</v>
      </c>
      <c r="C102" s="95" t="s">
        <v>319</v>
      </c>
      <c r="D102" s="95" t="s">
        <v>565</v>
      </c>
      <c r="E102" s="95" t="s">
        <v>572</v>
      </c>
      <c r="F102" s="95" t="s">
        <v>459</v>
      </c>
      <c r="G102" s="95" t="s">
        <v>459</v>
      </c>
      <c r="H102" s="95">
        <v>5</v>
      </c>
      <c r="I102" s="95" t="s">
        <v>686</v>
      </c>
      <c r="J102" s="94">
        <v>38830</v>
      </c>
      <c r="K102" s="96">
        <v>0.43194444444444402</v>
      </c>
    </row>
    <row r="103" spans="1:11" x14ac:dyDescent="0.15">
      <c r="A103" s="94">
        <v>38830</v>
      </c>
      <c r="B103" s="95" t="s">
        <v>686</v>
      </c>
      <c r="C103" s="95" t="s">
        <v>508</v>
      </c>
      <c r="D103" s="95" t="s">
        <v>688</v>
      </c>
      <c r="E103" s="95" t="s">
        <v>692</v>
      </c>
      <c r="F103" s="95" t="s">
        <v>458</v>
      </c>
      <c r="G103" s="95" t="s">
        <v>459</v>
      </c>
      <c r="H103" s="95">
        <v>4</v>
      </c>
      <c r="I103" s="95" t="s">
        <v>566</v>
      </c>
      <c r="J103" s="94">
        <v>38830</v>
      </c>
      <c r="K103" s="96">
        <v>0.43194444444444402</v>
      </c>
    </row>
    <row r="104" spans="1:11" x14ac:dyDescent="0.15">
      <c r="A104" s="94">
        <v>38830</v>
      </c>
      <c r="B104" s="95" t="s">
        <v>686</v>
      </c>
      <c r="C104" s="95" t="s">
        <v>547</v>
      </c>
      <c r="D104" s="95" t="s">
        <v>511</v>
      </c>
      <c r="E104" s="95" t="s">
        <v>548</v>
      </c>
      <c r="F104" s="95" t="s">
        <v>458</v>
      </c>
      <c r="G104" s="95" t="s">
        <v>459</v>
      </c>
      <c r="H104" s="95">
        <v>4</v>
      </c>
      <c r="I104" s="95" t="s">
        <v>566</v>
      </c>
      <c r="J104" s="94">
        <v>38830</v>
      </c>
      <c r="K104" s="96">
        <v>0.43194444444444402</v>
      </c>
    </row>
    <row r="105" spans="1:11" x14ac:dyDescent="0.15">
      <c r="A105" s="94">
        <v>38830</v>
      </c>
      <c r="B105" s="95" t="s">
        <v>686</v>
      </c>
      <c r="C105" s="95" t="s">
        <v>320</v>
      </c>
      <c r="D105" s="95" t="s">
        <v>519</v>
      </c>
      <c r="E105" s="95" t="s">
        <v>298</v>
      </c>
      <c r="F105" s="95" t="s">
        <v>459</v>
      </c>
      <c r="G105" s="95" t="s">
        <v>459</v>
      </c>
      <c r="H105" s="95">
        <v>4</v>
      </c>
      <c r="I105" s="95" t="s">
        <v>566</v>
      </c>
      <c r="J105" s="94">
        <v>38830</v>
      </c>
      <c r="K105" s="96">
        <v>0.43194444444444402</v>
      </c>
    </row>
    <row r="106" spans="1:11" x14ac:dyDescent="0.15">
      <c r="A106" s="94">
        <v>38830</v>
      </c>
      <c r="B106" s="95" t="s">
        <v>686</v>
      </c>
      <c r="C106" s="95" t="s">
        <v>321</v>
      </c>
      <c r="D106" s="95" t="s">
        <v>691</v>
      </c>
      <c r="E106" s="95" t="s">
        <v>593</v>
      </c>
      <c r="F106" s="95" t="s">
        <v>458</v>
      </c>
      <c r="G106" s="95" t="s">
        <v>459</v>
      </c>
      <c r="H106" s="95">
        <v>4</v>
      </c>
      <c r="I106" s="95" t="s">
        <v>566</v>
      </c>
      <c r="J106" s="94">
        <v>38830</v>
      </c>
      <c r="K106" s="96">
        <v>0.43194444444444402</v>
      </c>
    </row>
    <row r="107" spans="1:11" x14ac:dyDescent="0.15">
      <c r="A107" s="94">
        <v>38830</v>
      </c>
      <c r="B107" s="95" t="s">
        <v>686</v>
      </c>
      <c r="C107" s="95" t="s">
        <v>515</v>
      </c>
      <c r="D107" s="95" t="s">
        <v>688</v>
      </c>
      <c r="E107" s="95" t="s">
        <v>692</v>
      </c>
      <c r="F107" s="95" t="s">
        <v>459</v>
      </c>
      <c r="G107" s="95" t="s">
        <v>459</v>
      </c>
      <c r="H107" s="95">
        <v>4</v>
      </c>
      <c r="I107" s="95" t="s">
        <v>566</v>
      </c>
      <c r="J107" s="94">
        <v>38830</v>
      </c>
      <c r="K107" s="96">
        <v>0.43194444444444402</v>
      </c>
    </row>
    <row r="108" spans="1:11" x14ac:dyDescent="0.15">
      <c r="A108" s="94">
        <v>38826</v>
      </c>
      <c r="B108" s="95" t="s">
        <v>527</v>
      </c>
      <c r="C108" s="95" t="s">
        <v>322</v>
      </c>
      <c r="D108" s="95" t="s">
        <v>691</v>
      </c>
      <c r="E108" s="95" t="s">
        <v>534</v>
      </c>
      <c r="F108" s="95" t="s">
        <v>459</v>
      </c>
      <c r="G108" s="95" t="s">
        <v>459</v>
      </c>
      <c r="H108" s="95">
        <v>6</v>
      </c>
      <c r="I108" s="95" t="s">
        <v>585</v>
      </c>
      <c r="J108" s="94">
        <v>38826</v>
      </c>
      <c r="K108" s="96">
        <v>0.39652777777777798</v>
      </c>
    </row>
    <row r="109" spans="1:11" x14ac:dyDescent="0.15">
      <c r="A109" s="94">
        <v>38826</v>
      </c>
      <c r="B109" s="95" t="s">
        <v>585</v>
      </c>
      <c r="C109" s="95" t="s">
        <v>323</v>
      </c>
      <c r="D109" s="95" t="s">
        <v>684</v>
      </c>
      <c r="E109" s="95" t="s">
        <v>559</v>
      </c>
      <c r="F109" s="95" t="s">
        <v>459</v>
      </c>
      <c r="G109" s="95" t="s">
        <v>459</v>
      </c>
      <c r="H109" s="95">
        <v>1</v>
      </c>
      <c r="I109" s="95" t="s">
        <v>527</v>
      </c>
      <c r="J109" s="94">
        <v>38826</v>
      </c>
      <c r="K109" s="96">
        <v>0.39652777777777798</v>
      </c>
    </row>
    <row r="110" spans="1:11" x14ac:dyDescent="0.15">
      <c r="A110" s="95" t="s">
        <v>324</v>
      </c>
      <c r="B110" s="95" t="s">
        <v>682</v>
      </c>
      <c r="C110" s="95" t="s">
        <v>325</v>
      </c>
      <c r="D110" s="95" t="s">
        <v>691</v>
      </c>
      <c r="E110" s="95" t="s">
        <v>685</v>
      </c>
      <c r="F110" s="95" t="s">
        <v>459</v>
      </c>
      <c r="G110" s="95" t="s">
        <v>459</v>
      </c>
      <c r="H110" s="95">
        <v>3</v>
      </c>
      <c r="I110" s="95" t="s">
        <v>563</v>
      </c>
      <c r="J110" s="94">
        <v>38796</v>
      </c>
      <c r="K110" s="96">
        <v>0.31597222222222199</v>
      </c>
    </row>
    <row r="111" spans="1:11" x14ac:dyDescent="0.15">
      <c r="A111" s="95" t="s">
        <v>324</v>
      </c>
      <c r="B111" s="95" t="s">
        <v>563</v>
      </c>
      <c r="C111" s="95" t="s">
        <v>326</v>
      </c>
      <c r="D111" s="95" t="s">
        <v>688</v>
      </c>
      <c r="E111" s="95" t="s">
        <v>514</v>
      </c>
      <c r="F111" s="95" t="s">
        <v>459</v>
      </c>
      <c r="G111" s="95" t="s">
        <v>459</v>
      </c>
      <c r="H111" s="95">
        <v>2</v>
      </c>
      <c r="I111" s="95" t="s">
        <v>682</v>
      </c>
      <c r="J111" s="94">
        <v>38796</v>
      </c>
      <c r="K111" s="96">
        <v>0.31597222222222199</v>
      </c>
    </row>
    <row r="112" spans="1:11" x14ac:dyDescent="0.15">
      <c r="A112" s="95"/>
      <c r="B112" s="95"/>
      <c r="C112" s="95"/>
      <c r="D112" s="95"/>
      <c r="E112" s="95"/>
      <c r="F112" s="95"/>
      <c r="G112" s="95"/>
      <c r="H112" s="95"/>
      <c r="I112" s="95"/>
      <c r="J112" s="95"/>
      <c r="K112" s="95"/>
    </row>
    <row r="113" spans="1:11" x14ac:dyDescent="0.15">
      <c r="A113" s="95"/>
      <c r="B113" s="95"/>
      <c r="C113" s="95"/>
      <c r="D113" s="95"/>
      <c r="E113" s="95"/>
      <c r="F113" s="95"/>
      <c r="G113" s="95"/>
      <c r="H113" s="95"/>
      <c r="I113" s="95"/>
      <c r="J113" s="95"/>
      <c r="K113" s="95"/>
    </row>
    <row r="114" spans="1:11" x14ac:dyDescent="0.15">
      <c r="A114" s="138" t="s">
        <v>327</v>
      </c>
      <c r="B114" s="138"/>
      <c r="C114" s="138"/>
      <c r="D114" s="95"/>
      <c r="E114" s="95"/>
      <c r="F114" s="95"/>
      <c r="G114" s="95"/>
      <c r="H114" s="95"/>
      <c r="I114" s="95"/>
      <c r="J114" s="95"/>
      <c r="K114" s="95"/>
    </row>
    <row r="115" spans="1:11" x14ac:dyDescent="0.15">
      <c r="A115" s="138" t="s">
        <v>328</v>
      </c>
      <c r="B115" s="138"/>
      <c r="C115" s="95"/>
      <c r="D115" s="95"/>
      <c r="E115" s="95"/>
      <c r="F115" s="95"/>
      <c r="G115" s="95"/>
      <c r="H115" s="95"/>
      <c r="I115" s="95"/>
      <c r="J115" s="95"/>
      <c r="K115" s="95"/>
    </row>
    <row r="116" spans="1:11" x14ac:dyDescent="0.15">
      <c r="A116" s="138" t="s">
        <v>329</v>
      </c>
      <c r="B116" s="138"/>
      <c r="C116" s="138"/>
      <c r="D116" s="138"/>
      <c r="E116" s="95"/>
      <c r="F116" s="95"/>
      <c r="G116" s="95"/>
      <c r="H116" s="95"/>
      <c r="I116" s="95"/>
      <c r="J116" s="95"/>
      <c r="K116" s="95"/>
    </row>
    <row r="117" spans="1:11" x14ac:dyDescent="0.15">
      <c r="A117" s="95" t="s">
        <v>330</v>
      </c>
      <c r="B117" s="95" t="s">
        <v>331</v>
      </c>
      <c r="C117" s="95" t="s">
        <v>332</v>
      </c>
      <c r="D117" s="95" t="s">
        <v>333</v>
      </c>
      <c r="E117" s="95" t="s">
        <v>334</v>
      </c>
      <c r="F117" s="95" t="s">
        <v>375</v>
      </c>
      <c r="G117" s="95" t="s">
        <v>335</v>
      </c>
      <c r="H117" s="95"/>
      <c r="I117" s="95"/>
      <c r="J117" s="95"/>
      <c r="K117" s="95"/>
    </row>
    <row r="118" spans="1:11" x14ac:dyDescent="0.15">
      <c r="A118" s="95" t="s">
        <v>336</v>
      </c>
      <c r="B118" s="95" t="s">
        <v>337</v>
      </c>
      <c r="C118" s="95" t="s">
        <v>338</v>
      </c>
      <c r="D118" s="95" t="s">
        <v>339</v>
      </c>
      <c r="E118" s="95" t="s">
        <v>340</v>
      </c>
      <c r="F118" s="95" t="s">
        <v>341</v>
      </c>
      <c r="G118" s="95" t="s">
        <v>342</v>
      </c>
      <c r="H118" s="95"/>
      <c r="I118" s="95"/>
      <c r="J118" s="95"/>
      <c r="K118" s="95"/>
    </row>
    <row r="119" spans="1:11" x14ac:dyDescent="0.15">
      <c r="A119" s="95" t="s">
        <v>336</v>
      </c>
      <c r="B119" s="95" t="s">
        <v>337</v>
      </c>
      <c r="C119" s="95" t="s">
        <v>338</v>
      </c>
      <c r="D119" s="95" t="s">
        <v>339</v>
      </c>
      <c r="E119" s="95" t="s">
        <v>343</v>
      </c>
      <c r="F119" s="95" t="s">
        <v>379</v>
      </c>
      <c r="G119" s="95" t="s">
        <v>344</v>
      </c>
      <c r="H119" s="95"/>
      <c r="I119" s="95"/>
      <c r="J119" s="95"/>
      <c r="K119" s="95"/>
    </row>
    <row r="120" spans="1:11" x14ac:dyDescent="0.15">
      <c r="A120" s="95" t="s">
        <v>336</v>
      </c>
      <c r="B120" s="95" t="s">
        <v>337</v>
      </c>
      <c r="C120" s="95" t="s">
        <v>338</v>
      </c>
      <c r="D120" s="95" t="s">
        <v>339</v>
      </c>
      <c r="E120" s="95" t="s">
        <v>345</v>
      </c>
      <c r="F120" s="95" t="s">
        <v>382</v>
      </c>
      <c r="G120" s="95" t="s">
        <v>611</v>
      </c>
      <c r="H120" s="95"/>
      <c r="I120" s="95"/>
      <c r="J120" s="95"/>
      <c r="K120" s="95"/>
    </row>
    <row r="121" spans="1:11" x14ac:dyDescent="0.15">
      <c r="A121" s="95" t="s">
        <v>336</v>
      </c>
      <c r="B121" s="95" t="s">
        <v>337</v>
      </c>
      <c r="C121" s="95" t="s">
        <v>338</v>
      </c>
      <c r="D121" s="95" t="s">
        <v>339</v>
      </c>
      <c r="E121" s="95" t="s">
        <v>346</v>
      </c>
      <c r="F121" s="95" t="s">
        <v>607</v>
      </c>
      <c r="G121" s="95" t="s">
        <v>344</v>
      </c>
      <c r="H121" s="95"/>
      <c r="I121" s="95"/>
      <c r="J121" s="95"/>
      <c r="K121" s="95"/>
    </row>
    <row r="122" spans="1:11" x14ac:dyDescent="0.15">
      <c r="A122" s="95" t="s">
        <v>336</v>
      </c>
      <c r="B122" s="95" t="s">
        <v>337</v>
      </c>
      <c r="C122" s="95" t="s">
        <v>339</v>
      </c>
      <c r="D122" s="95" t="s">
        <v>338</v>
      </c>
      <c r="E122" s="95" t="s">
        <v>347</v>
      </c>
      <c r="F122" s="95" t="s">
        <v>613</v>
      </c>
      <c r="G122" s="95" t="s">
        <v>348</v>
      </c>
      <c r="H122" s="95"/>
      <c r="I122" s="95"/>
      <c r="J122" s="95"/>
      <c r="K122" s="95"/>
    </row>
    <row r="123" spans="1:11" x14ac:dyDescent="0.15">
      <c r="A123" s="95" t="s">
        <v>336</v>
      </c>
      <c r="B123" s="95" t="s">
        <v>337</v>
      </c>
      <c r="C123" s="95" t="s">
        <v>339</v>
      </c>
      <c r="D123" s="95" t="s">
        <v>338</v>
      </c>
      <c r="E123" s="95" t="s">
        <v>349</v>
      </c>
      <c r="F123" s="95" t="s">
        <v>341</v>
      </c>
      <c r="G123" s="95" t="s">
        <v>608</v>
      </c>
      <c r="H123" s="95"/>
      <c r="I123" s="95"/>
      <c r="J123" s="95"/>
      <c r="K123" s="95"/>
    </row>
    <row r="124" spans="1:11" x14ac:dyDescent="0.15">
      <c r="A124" s="95" t="s">
        <v>336</v>
      </c>
      <c r="B124" s="95" t="s">
        <v>337</v>
      </c>
      <c r="C124" s="95" t="s">
        <v>339</v>
      </c>
      <c r="D124" s="95" t="s">
        <v>338</v>
      </c>
      <c r="E124" s="95" t="s">
        <v>378</v>
      </c>
      <c r="F124" s="95" t="s">
        <v>379</v>
      </c>
      <c r="G124" s="95" t="s">
        <v>380</v>
      </c>
      <c r="H124" s="95"/>
      <c r="I124" s="95"/>
      <c r="J124" s="95"/>
      <c r="K124" s="95"/>
    </row>
    <row r="125" spans="1:11" x14ac:dyDescent="0.15">
      <c r="A125" s="95" t="s">
        <v>336</v>
      </c>
      <c r="B125" s="95" t="s">
        <v>337</v>
      </c>
      <c r="C125" s="95" t="s">
        <v>339</v>
      </c>
      <c r="D125" s="95" t="s">
        <v>338</v>
      </c>
      <c r="E125" s="95" t="s">
        <v>350</v>
      </c>
      <c r="F125" s="95" t="s">
        <v>382</v>
      </c>
      <c r="G125" s="95" t="s">
        <v>351</v>
      </c>
      <c r="H125" s="95"/>
      <c r="I125" s="95"/>
      <c r="J125" s="95"/>
      <c r="K125" s="95"/>
    </row>
    <row r="126" spans="1:11" x14ac:dyDescent="0.15">
      <c r="A126" s="95" t="s">
        <v>336</v>
      </c>
      <c r="B126" s="95" t="s">
        <v>337</v>
      </c>
      <c r="C126" s="95" t="s">
        <v>339</v>
      </c>
      <c r="D126" s="95" t="s">
        <v>338</v>
      </c>
      <c r="E126" s="95" t="s">
        <v>352</v>
      </c>
      <c r="F126" s="95" t="s">
        <v>607</v>
      </c>
      <c r="G126" s="95" t="s">
        <v>353</v>
      </c>
      <c r="H126" s="95"/>
      <c r="I126" s="95"/>
      <c r="J126" s="95"/>
      <c r="K126" s="95"/>
    </row>
    <row r="127" spans="1:11" x14ac:dyDescent="0.15">
      <c r="A127" s="95" t="s">
        <v>336</v>
      </c>
      <c r="B127" s="95" t="s">
        <v>337</v>
      </c>
      <c r="C127" s="95" t="s">
        <v>339</v>
      </c>
      <c r="D127" s="95" t="s">
        <v>338</v>
      </c>
      <c r="E127" s="95" t="s">
        <v>354</v>
      </c>
      <c r="F127" s="95" t="s">
        <v>607</v>
      </c>
      <c r="G127" s="95" t="s">
        <v>355</v>
      </c>
      <c r="H127" s="95"/>
      <c r="I127" s="95"/>
      <c r="J127" s="95"/>
      <c r="K127" s="95"/>
    </row>
    <row r="128" spans="1:11" x14ac:dyDescent="0.15">
      <c r="A128" s="95" t="s">
        <v>336</v>
      </c>
      <c r="B128" s="95" t="s">
        <v>337</v>
      </c>
      <c r="C128" s="95" t="s">
        <v>339</v>
      </c>
      <c r="D128" s="95" t="s">
        <v>338</v>
      </c>
      <c r="E128" s="95" t="s">
        <v>356</v>
      </c>
      <c r="F128" s="95" t="s">
        <v>610</v>
      </c>
      <c r="G128" s="95" t="s">
        <v>581</v>
      </c>
      <c r="H128" s="95"/>
      <c r="I128" s="95"/>
      <c r="J128" s="95"/>
      <c r="K128" s="95"/>
    </row>
    <row r="129" spans="1:11" x14ac:dyDescent="0.15">
      <c r="A129" s="95"/>
      <c r="B129" s="95"/>
      <c r="C129" s="95"/>
      <c r="D129" s="95"/>
      <c r="E129" s="95"/>
      <c r="F129" s="95"/>
      <c r="G129" s="95"/>
      <c r="H129" s="95"/>
      <c r="I129" s="95"/>
      <c r="J129" s="95"/>
      <c r="K129" s="95"/>
    </row>
    <row r="130" spans="1:11" x14ac:dyDescent="0.15">
      <c r="A130" s="95" t="s">
        <v>357</v>
      </c>
      <c r="B130" s="95" t="s">
        <v>636</v>
      </c>
      <c r="C130" s="95" t="s">
        <v>358</v>
      </c>
      <c r="D130" s="95"/>
      <c r="E130" s="95"/>
      <c r="F130" s="95"/>
      <c r="G130" s="95"/>
      <c r="H130" s="95"/>
      <c r="I130" s="95"/>
      <c r="J130" s="95"/>
      <c r="K130" s="95"/>
    </row>
    <row r="131" spans="1:11" x14ac:dyDescent="0.15">
      <c r="A131" s="95" t="s">
        <v>544</v>
      </c>
      <c r="B131" s="95" t="s">
        <v>637</v>
      </c>
      <c r="C131" s="95" t="s">
        <v>358</v>
      </c>
      <c r="D131" s="95"/>
      <c r="E131" s="95"/>
      <c r="F131" s="95"/>
      <c r="G131" s="95"/>
      <c r="H131" s="95"/>
      <c r="I131" s="95"/>
      <c r="J131" s="95"/>
      <c r="K131" s="95"/>
    </row>
  </sheetData>
  <mergeCells count="3">
    <mergeCell ref="A114:C114"/>
    <mergeCell ref="A115:B115"/>
    <mergeCell ref="A116:D116"/>
  </mergeCells>
  <phoneticPr fontId="0" type="noConversion"/>
  <pageMargins left="0.7" right="0.7" top="0.75" bottom="0.75" header="0.5" footer="0.5"/>
  <pageSetup paperSize="0" orientation="portrait" horizontalDpi="4294967292" verticalDpi="429496729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19"/>
  <sheetViews>
    <sheetView topLeftCell="A13" workbookViewId="0">
      <selection activeCell="A33" sqref="A33:XFD119"/>
    </sheetView>
  </sheetViews>
  <sheetFormatPr baseColWidth="10" defaultColWidth="11" defaultRowHeight="13" x14ac:dyDescent="0.15"/>
  <cols>
    <col min="1" max="1" width="21.33203125" customWidth="1"/>
    <col min="2" max="2" width="12.6640625" customWidth="1"/>
    <col min="3" max="4" width="11" customWidth="1"/>
    <col min="5" max="5" width="11.33203125" customWidth="1"/>
    <col min="6" max="6" width="21.33203125" customWidth="1"/>
  </cols>
  <sheetData>
    <row r="1" spans="1:6" s="6" customFormat="1" x14ac:dyDescent="0.15">
      <c r="A1" s="6" t="s">
        <v>787</v>
      </c>
      <c r="B1" s="6" t="s">
        <v>788</v>
      </c>
      <c r="C1" s="6" t="s">
        <v>789</v>
      </c>
      <c r="D1" s="6" t="s">
        <v>790</v>
      </c>
      <c r="E1" s="6" t="s">
        <v>728</v>
      </c>
      <c r="F1" s="6" t="s">
        <v>795</v>
      </c>
    </row>
    <row r="2" spans="1:6" x14ac:dyDescent="0.15">
      <c r="A2" t="s">
        <v>781</v>
      </c>
      <c r="B2" s="2" t="s">
        <v>805</v>
      </c>
      <c r="C2" s="3">
        <v>8637</v>
      </c>
      <c r="D2">
        <v>2.9</v>
      </c>
      <c r="E2">
        <v>12.8</v>
      </c>
      <c r="F2">
        <v>4668</v>
      </c>
    </row>
    <row r="3" spans="1:6" x14ac:dyDescent="0.15">
      <c r="A3" t="s">
        <v>723</v>
      </c>
      <c r="B3" s="2" t="s">
        <v>770</v>
      </c>
      <c r="C3" s="3">
        <v>8626</v>
      </c>
      <c r="D3">
        <v>2.8</v>
      </c>
      <c r="E3">
        <v>13.5</v>
      </c>
      <c r="F3">
        <v>4704</v>
      </c>
    </row>
    <row r="4" spans="1:6" x14ac:dyDescent="0.15">
      <c r="A4" t="s">
        <v>602</v>
      </c>
      <c r="B4" s="2" t="s">
        <v>801</v>
      </c>
      <c r="C4" s="3">
        <v>8181</v>
      </c>
      <c r="D4">
        <v>2.6</v>
      </c>
      <c r="E4">
        <v>13</v>
      </c>
      <c r="F4">
        <v>4520</v>
      </c>
    </row>
    <row r="5" spans="1:6" x14ac:dyDescent="0.15">
      <c r="A5" t="s">
        <v>737</v>
      </c>
      <c r="B5" s="2" t="s">
        <v>719</v>
      </c>
      <c r="C5" s="3">
        <v>8078</v>
      </c>
      <c r="D5">
        <v>2.8</v>
      </c>
      <c r="E5">
        <v>11.8</v>
      </c>
      <c r="F5">
        <v>4393</v>
      </c>
    </row>
    <row r="6" spans="1:6" x14ac:dyDescent="0.15">
      <c r="A6" t="s">
        <v>603</v>
      </c>
      <c r="B6" s="2" t="s">
        <v>797</v>
      </c>
      <c r="C6" s="3">
        <v>8054</v>
      </c>
      <c r="D6">
        <v>3</v>
      </c>
      <c r="E6">
        <v>10.7</v>
      </c>
      <c r="F6">
        <v>4599</v>
      </c>
    </row>
    <row r="7" spans="1:6" x14ac:dyDescent="0.15">
      <c r="A7" t="s">
        <v>595</v>
      </c>
      <c r="B7" s="2" t="s">
        <v>596</v>
      </c>
      <c r="C7" s="3">
        <v>7970</v>
      </c>
      <c r="D7">
        <v>2.7</v>
      </c>
      <c r="E7">
        <v>11.9</v>
      </c>
      <c r="F7">
        <v>4560</v>
      </c>
    </row>
    <row r="8" spans="1:6" x14ac:dyDescent="0.15">
      <c r="A8" t="s">
        <v>782</v>
      </c>
      <c r="B8" s="2" t="s">
        <v>721</v>
      </c>
      <c r="C8" s="3">
        <v>7846</v>
      </c>
      <c r="D8">
        <v>2.8</v>
      </c>
      <c r="E8">
        <v>11</v>
      </c>
      <c r="F8">
        <v>4251</v>
      </c>
    </row>
    <row r="9" spans="1:6" x14ac:dyDescent="0.15">
      <c r="A9" t="s">
        <v>729</v>
      </c>
      <c r="B9" s="2" t="s">
        <v>730</v>
      </c>
      <c r="C9" s="3">
        <v>7766</v>
      </c>
      <c r="D9">
        <v>2.8</v>
      </c>
      <c r="E9">
        <v>10.8</v>
      </c>
      <c r="F9">
        <v>4301</v>
      </c>
    </row>
    <row r="10" spans="1:6" x14ac:dyDescent="0.15">
      <c r="A10" t="s">
        <v>604</v>
      </c>
      <c r="B10" s="2" t="s">
        <v>734</v>
      </c>
      <c r="C10" s="3">
        <v>7687</v>
      </c>
      <c r="D10">
        <v>2.7</v>
      </c>
      <c r="E10">
        <v>11</v>
      </c>
      <c r="F10">
        <v>4371</v>
      </c>
    </row>
    <row r="11" spans="1:6" x14ac:dyDescent="0.15">
      <c r="A11" t="s">
        <v>605</v>
      </c>
      <c r="B11" s="2" t="s">
        <v>768</v>
      </c>
      <c r="C11" s="3">
        <v>7236</v>
      </c>
      <c r="D11">
        <v>2.6</v>
      </c>
      <c r="E11">
        <v>10.6</v>
      </c>
      <c r="F11">
        <v>3801</v>
      </c>
    </row>
    <row r="12" spans="1:6" x14ac:dyDescent="0.15">
      <c r="A12" t="s">
        <v>811</v>
      </c>
      <c r="B12" s="2" t="s">
        <v>736</v>
      </c>
      <c r="C12" s="3">
        <v>7127</v>
      </c>
      <c r="D12">
        <v>2.7</v>
      </c>
      <c r="E12">
        <v>9.6</v>
      </c>
      <c r="F12">
        <v>3900</v>
      </c>
    </row>
    <row r="13" spans="1:6" x14ac:dyDescent="0.15">
      <c r="A13" t="s">
        <v>784</v>
      </c>
      <c r="B13" s="2" t="s">
        <v>803</v>
      </c>
      <c r="C13" s="3">
        <v>7085</v>
      </c>
      <c r="D13">
        <v>2.7</v>
      </c>
      <c r="E13">
        <v>9.1</v>
      </c>
      <c r="F13">
        <v>3969</v>
      </c>
    </row>
    <row r="17" spans="1:1" x14ac:dyDescent="0.15">
      <c r="A17" s="1" t="s">
        <v>739</v>
      </c>
    </row>
    <row r="18" spans="1:1" x14ac:dyDescent="0.15">
      <c r="A18" t="s">
        <v>740</v>
      </c>
    </row>
    <row r="19" spans="1:1" x14ac:dyDescent="0.15">
      <c r="A19" t="s">
        <v>746</v>
      </c>
    </row>
    <row r="20" spans="1:1" x14ac:dyDescent="0.15">
      <c r="A20" t="s">
        <v>630</v>
      </c>
    </row>
    <row r="21" spans="1:1" x14ac:dyDescent="0.15">
      <c r="A21" t="s">
        <v>741</v>
      </c>
    </row>
    <row r="22" spans="1:1" x14ac:dyDescent="0.15">
      <c r="A22" t="s">
        <v>747</v>
      </c>
    </row>
    <row r="23" spans="1:1" x14ac:dyDescent="0.15">
      <c r="A23" t="s">
        <v>748</v>
      </c>
    </row>
    <row r="24" spans="1:1" x14ac:dyDescent="0.15">
      <c r="A24" t="s">
        <v>749</v>
      </c>
    </row>
    <row r="25" spans="1:1" x14ac:dyDescent="0.15">
      <c r="A25" t="s">
        <v>750</v>
      </c>
    </row>
    <row r="26" spans="1:1" x14ac:dyDescent="0.15">
      <c r="A26" t="s">
        <v>751</v>
      </c>
    </row>
    <row r="27" spans="1:1" x14ac:dyDescent="0.15">
      <c r="A27" t="s">
        <v>752</v>
      </c>
    </row>
    <row r="28" spans="1:1" x14ac:dyDescent="0.15">
      <c r="A28" t="s">
        <v>698</v>
      </c>
    </row>
    <row r="29" spans="1:1" x14ac:dyDescent="0.15">
      <c r="A29" t="s">
        <v>699</v>
      </c>
    </row>
    <row r="30" spans="1:1" x14ac:dyDescent="0.15">
      <c r="A30" t="s">
        <v>700</v>
      </c>
    </row>
    <row r="31" spans="1:1" x14ac:dyDescent="0.15">
      <c r="A31" t="s">
        <v>701</v>
      </c>
    </row>
    <row r="33" spans="1:8" x14ac:dyDescent="0.15">
      <c r="A33" s="1" t="s">
        <v>681</v>
      </c>
    </row>
    <row r="34" spans="1:8" x14ac:dyDescent="0.15">
      <c r="A34" s="91">
        <v>39311</v>
      </c>
      <c r="B34" s="92" t="s">
        <v>682</v>
      </c>
      <c r="C34" s="92" t="s">
        <v>683</v>
      </c>
      <c r="D34" s="92" t="s">
        <v>684</v>
      </c>
      <c r="E34" s="92" t="s">
        <v>685</v>
      </c>
      <c r="F34" s="92" t="s">
        <v>686</v>
      </c>
      <c r="G34" s="91">
        <v>39310</v>
      </c>
      <c r="H34" s="93">
        <v>0.88888888888888895</v>
      </c>
    </row>
    <row r="35" spans="1:8" x14ac:dyDescent="0.15">
      <c r="A35" s="91">
        <v>39311</v>
      </c>
      <c r="B35" s="92" t="s">
        <v>682</v>
      </c>
      <c r="C35" s="92" t="s">
        <v>687</v>
      </c>
      <c r="D35" s="92" t="s">
        <v>688</v>
      </c>
      <c r="E35" s="92" t="s">
        <v>689</v>
      </c>
      <c r="F35" s="92" t="s">
        <v>686</v>
      </c>
      <c r="G35" s="91">
        <v>39310</v>
      </c>
      <c r="H35" s="93">
        <v>0.88888888888888895</v>
      </c>
    </row>
    <row r="36" spans="1:8" x14ac:dyDescent="0.15">
      <c r="A36" s="91">
        <v>39311</v>
      </c>
      <c r="B36" s="92" t="s">
        <v>682</v>
      </c>
      <c r="C36" s="92" t="s">
        <v>690</v>
      </c>
      <c r="D36" s="92" t="s">
        <v>691</v>
      </c>
      <c r="E36" s="92" t="s">
        <v>692</v>
      </c>
      <c r="F36" s="92" t="s">
        <v>686</v>
      </c>
      <c r="G36" s="91">
        <v>39310</v>
      </c>
      <c r="H36" s="93">
        <v>0.88888888888888895</v>
      </c>
    </row>
    <row r="37" spans="1:8" x14ac:dyDescent="0.15">
      <c r="A37" s="91">
        <v>39311</v>
      </c>
      <c r="B37" s="92" t="s">
        <v>682</v>
      </c>
      <c r="C37" s="92" t="s">
        <v>693</v>
      </c>
      <c r="D37" s="92" t="s">
        <v>694</v>
      </c>
      <c r="E37" s="92" t="s">
        <v>695</v>
      </c>
      <c r="F37" s="92" t="s">
        <v>686</v>
      </c>
      <c r="G37" s="91">
        <v>39310</v>
      </c>
      <c r="H37" s="93">
        <v>0.88888888888888895</v>
      </c>
    </row>
    <row r="38" spans="1:8" x14ac:dyDescent="0.15">
      <c r="A38" s="91">
        <v>39311</v>
      </c>
      <c r="B38" s="92" t="s">
        <v>682</v>
      </c>
      <c r="C38" s="92" t="s">
        <v>696</v>
      </c>
      <c r="D38" s="92" t="s">
        <v>511</v>
      </c>
      <c r="E38" s="92" t="s">
        <v>512</v>
      </c>
      <c r="F38" s="92" t="s">
        <v>686</v>
      </c>
      <c r="G38" s="91">
        <v>39310</v>
      </c>
      <c r="H38" s="93">
        <v>0.88888888888888895</v>
      </c>
    </row>
    <row r="39" spans="1:8" x14ac:dyDescent="0.15">
      <c r="A39" s="91">
        <v>39311</v>
      </c>
      <c r="B39" s="92" t="s">
        <v>686</v>
      </c>
      <c r="C39" s="92" t="s">
        <v>513</v>
      </c>
      <c r="D39" s="92" t="s">
        <v>684</v>
      </c>
      <c r="E39" s="92" t="s">
        <v>514</v>
      </c>
      <c r="F39" s="92" t="s">
        <v>682</v>
      </c>
      <c r="G39" s="91">
        <v>39310</v>
      </c>
      <c r="H39" s="93">
        <v>0.88888888888888895</v>
      </c>
    </row>
    <row r="40" spans="1:8" x14ac:dyDescent="0.15">
      <c r="A40" s="91">
        <v>39311</v>
      </c>
      <c r="B40" s="92" t="s">
        <v>686</v>
      </c>
      <c r="C40" s="92" t="s">
        <v>515</v>
      </c>
      <c r="D40" s="92" t="s">
        <v>688</v>
      </c>
      <c r="E40" s="92" t="s">
        <v>692</v>
      </c>
      <c r="F40" s="92" t="s">
        <v>682</v>
      </c>
      <c r="G40" s="91">
        <v>39310</v>
      </c>
      <c r="H40" s="93">
        <v>0.88888888888888895</v>
      </c>
    </row>
    <row r="41" spans="1:8" x14ac:dyDescent="0.15">
      <c r="A41" s="91">
        <v>39311</v>
      </c>
      <c r="B41" s="92" t="s">
        <v>686</v>
      </c>
      <c r="C41" s="92" t="s">
        <v>516</v>
      </c>
      <c r="D41" s="92" t="s">
        <v>694</v>
      </c>
      <c r="E41" s="92" t="s">
        <v>517</v>
      </c>
      <c r="F41" s="92" t="s">
        <v>682</v>
      </c>
      <c r="G41" s="91">
        <v>39310</v>
      </c>
      <c r="H41" s="93">
        <v>0.88888888888888895</v>
      </c>
    </row>
    <row r="42" spans="1:8" x14ac:dyDescent="0.15">
      <c r="A42" s="91">
        <v>39311</v>
      </c>
      <c r="B42" s="92" t="s">
        <v>686</v>
      </c>
      <c r="C42" s="92" t="s">
        <v>518</v>
      </c>
      <c r="D42" s="92" t="s">
        <v>519</v>
      </c>
      <c r="E42" s="92" t="s">
        <v>520</v>
      </c>
      <c r="F42" s="92" t="s">
        <v>682</v>
      </c>
      <c r="G42" s="91">
        <v>39310</v>
      </c>
      <c r="H42" s="93">
        <v>0.88888888888888895</v>
      </c>
    </row>
    <row r="43" spans="1:8" x14ac:dyDescent="0.15">
      <c r="A43" s="91">
        <v>39311</v>
      </c>
      <c r="B43" s="92" t="s">
        <v>686</v>
      </c>
      <c r="C43" s="92" t="s">
        <v>521</v>
      </c>
      <c r="D43" s="92" t="s">
        <v>511</v>
      </c>
      <c r="E43" s="92" t="s">
        <v>522</v>
      </c>
      <c r="F43" s="92" t="s">
        <v>682</v>
      </c>
      <c r="G43" s="91">
        <v>39310</v>
      </c>
      <c r="H43" s="93">
        <v>0.88888888888888895</v>
      </c>
    </row>
    <row r="44" spans="1:8" x14ac:dyDescent="0.15">
      <c r="A44" s="94">
        <v>39300</v>
      </c>
      <c r="B44" s="95" t="s">
        <v>682</v>
      </c>
      <c r="C44" s="95" t="s">
        <v>523</v>
      </c>
      <c r="D44" s="95" t="s">
        <v>684</v>
      </c>
      <c r="E44" s="95" t="s">
        <v>514</v>
      </c>
      <c r="F44" s="95" t="s">
        <v>524</v>
      </c>
      <c r="G44" s="94">
        <v>39299</v>
      </c>
      <c r="H44" s="96">
        <v>0.94791666666666696</v>
      </c>
    </row>
    <row r="45" spans="1:8" x14ac:dyDescent="0.15">
      <c r="A45" s="94">
        <v>39300</v>
      </c>
      <c r="B45" s="95" t="s">
        <v>524</v>
      </c>
      <c r="C45" s="95" t="s">
        <v>525</v>
      </c>
      <c r="D45" s="95" t="s">
        <v>688</v>
      </c>
      <c r="E45" s="95" t="s">
        <v>526</v>
      </c>
      <c r="F45" s="95" t="s">
        <v>682</v>
      </c>
      <c r="G45" s="94">
        <v>39299</v>
      </c>
      <c r="H45" s="96">
        <v>0.94791666666666696</v>
      </c>
    </row>
    <row r="46" spans="1:8" x14ac:dyDescent="0.15">
      <c r="A46" s="91">
        <v>39295</v>
      </c>
      <c r="B46" s="92" t="s">
        <v>527</v>
      </c>
      <c r="C46" s="92" t="s">
        <v>528</v>
      </c>
      <c r="D46" s="92" t="s">
        <v>684</v>
      </c>
      <c r="E46" s="92" t="s">
        <v>529</v>
      </c>
      <c r="F46" s="92" t="s">
        <v>530</v>
      </c>
      <c r="G46" s="91">
        <v>39294</v>
      </c>
      <c r="H46" s="93">
        <v>0.83680555555555503</v>
      </c>
    </row>
    <row r="47" spans="1:8" x14ac:dyDescent="0.15">
      <c r="A47" s="91">
        <v>39295</v>
      </c>
      <c r="B47" s="92" t="s">
        <v>527</v>
      </c>
      <c r="C47" s="92" t="s">
        <v>531</v>
      </c>
      <c r="D47" s="92" t="s">
        <v>691</v>
      </c>
      <c r="E47" s="92" t="s">
        <v>532</v>
      </c>
      <c r="F47" s="92" t="s">
        <v>530</v>
      </c>
      <c r="G47" s="91">
        <v>39294</v>
      </c>
      <c r="H47" s="93">
        <v>0.83680555555555503</v>
      </c>
    </row>
    <row r="48" spans="1:8" x14ac:dyDescent="0.15">
      <c r="A48" s="91">
        <v>39295</v>
      </c>
      <c r="B48" s="92" t="s">
        <v>527</v>
      </c>
      <c r="C48" s="92" t="s">
        <v>533</v>
      </c>
      <c r="D48" s="92" t="s">
        <v>519</v>
      </c>
      <c r="E48" s="92" t="s">
        <v>534</v>
      </c>
      <c r="F48" s="92" t="s">
        <v>530</v>
      </c>
      <c r="G48" s="91">
        <v>39294</v>
      </c>
      <c r="H48" s="93">
        <v>0.83680555555555503</v>
      </c>
    </row>
    <row r="49" spans="1:8" x14ac:dyDescent="0.15">
      <c r="A49" s="91">
        <v>39295</v>
      </c>
      <c r="B49" s="92" t="s">
        <v>527</v>
      </c>
      <c r="C49" s="92" t="s">
        <v>535</v>
      </c>
      <c r="D49" s="92" t="s">
        <v>511</v>
      </c>
      <c r="E49" s="92" t="s">
        <v>529</v>
      </c>
      <c r="F49" s="92" t="s">
        <v>530</v>
      </c>
      <c r="G49" s="91">
        <v>39294</v>
      </c>
      <c r="H49" s="93">
        <v>0.83680555555555503</v>
      </c>
    </row>
    <row r="50" spans="1:8" x14ac:dyDescent="0.15">
      <c r="A50" s="91">
        <v>39295</v>
      </c>
      <c r="B50" s="92" t="s">
        <v>530</v>
      </c>
      <c r="C50" s="92" t="s">
        <v>536</v>
      </c>
      <c r="D50" s="92" t="s">
        <v>688</v>
      </c>
      <c r="E50" s="92" t="s">
        <v>534</v>
      </c>
      <c r="F50" s="92" t="s">
        <v>527</v>
      </c>
      <c r="G50" s="91">
        <v>39294</v>
      </c>
      <c r="H50" s="93">
        <v>0.83680555555555503</v>
      </c>
    </row>
    <row r="51" spans="1:8" x14ac:dyDescent="0.15">
      <c r="A51" s="91">
        <v>39295</v>
      </c>
      <c r="B51" s="92" t="s">
        <v>530</v>
      </c>
      <c r="C51" s="92" t="s">
        <v>537</v>
      </c>
      <c r="D51" s="92" t="s">
        <v>691</v>
      </c>
      <c r="E51" s="92" t="s">
        <v>538</v>
      </c>
      <c r="F51" s="92" t="s">
        <v>527</v>
      </c>
      <c r="G51" s="91">
        <v>39294</v>
      </c>
      <c r="H51" s="93">
        <v>0.83680555555555503</v>
      </c>
    </row>
    <row r="52" spans="1:8" x14ac:dyDescent="0.15">
      <c r="A52" s="91">
        <v>39295</v>
      </c>
      <c r="B52" s="92" t="s">
        <v>530</v>
      </c>
      <c r="C52" s="92" t="s">
        <v>539</v>
      </c>
      <c r="D52" s="92" t="s">
        <v>540</v>
      </c>
      <c r="E52" s="92" t="s">
        <v>692</v>
      </c>
      <c r="F52" s="92" t="s">
        <v>527</v>
      </c>
      <c r="G52" s="91">
        <v>39294</v>
      </c>
      <c r="H52" s="93">
        <v>0.83680555555555503</v>
      </c>
    </row>
    <row r="53" spans="1:8" x14ac:dyDescent="0.15">
      <c r="A53" s="91">
        <v>39295</v>
      </c>
      <c r="B53" s="92" t="s">
        <v>530</v>
      </c>
      <c r="C53" s="92" t="s">
        <v>541</v>
      </c>
      <c r="D53" s="92" t="s">
        <v>519</v>
      </c>
      <c r="E53" s="92" t="s">
        <v>520</v>
      </c>
      <c r="F53" s="92" t="s">
        <v>527</v>
      </c>
      <c r="G53" s="91">
        <v>39294</v>
      </c>
      <c r="H53" s="93">
        <v>0.83680555555555503</v>
      </c>
    </row>
    <row r="54" spans="1:8" x14ac:dyDescent="0.15">
      <c r="A54" s="94">
        <v>39290</v>
      </c>
      <c r="B54" s="95" t="s">
        <v>527</v>
      </c>
      <c r="C54" s="95" t="s">
        <v>542</v>
      </c>
      <c r="D54" s="95" t="s">
        <v>691</v>
      </c>
      <c r="E54" s="95" t="s">
        <v>532</v>
      </c>
      <c r="F54" s="95" t="s">
        <v>543</v>
      </c>
      <c r="G54" s="94">
        <v>39289</v>
      </c>
      <c r="H54" s="96">
        <v>0.62152777777777801</v>
      </c>
    </row>
    <row r="55" spans="1:8" x14ac:dyDescent="0.15">
      <c r="A55" s="94">
        <v>39290</v>
      </c>
      <c r="B55" s="95" t="s">
        <v>527</v>
      </c>
      <c r="C55" s="95" t="s">
        <v>544</v>
      </c>
      <c r="D55" s="95" t="s">
        <v>691</v>
      </c>
      <c r="E55" s="95" t="s">
        <v>517</v>
      </c>
      <c r="F55" s="95" t="s">
        <v>543</v>
      </c>
      <c r="G55" s="94">
        <v>39289</v>
      </c>
      <c r="H55" s="96">
        <v>0.62152777777777801</v>
      </c>
    </row>
    <row r="56" spans="1:8" x14ac:dyDescent="0.15">
      <c r="A56" s="94">
        <v>39290</v>
      </c>
      <c r="B56" s="95" t="s">
        <v>527</v>
      </c>
      <c r="C56" s="95" t="s">
        <v>545</v>
      </c>
      <c r="D56" s="95" t="s">
        <v>691</v>
      </c>
      <c r="E56" s="95" t="s">
        <v>546</v>
      </c>
      <c r="F56" s="95" t="s">
        <v>543</v>
      </c>
      <c r="G56" s="94">
        <v>39289</v>
      </c>
      <c r="H56" s="96">
        <v>0.62152777777777801</v>
      </c>
    </row>
    <row r="57" spans="1:8" x14ac:dyDescent="0.15">
      <c r="A57" s="94">
        <v>39290</v>
      </c>
      <c r="B57" s="95" t="s">
        <v>527</v>
      </c>
      <c r="C57" s="95" t="s">
        <v>547</v>
      </c>
      <c r="D57" s="95" t="s">
        <v>511</v>
      </c>
      <c r="E57" s="95" t="s">
        <v>548</v>
      </c>
      <c r="F57" s="95" t="s">
        <v>543</v>
      </c>
      <c r="G57" s="94">
        <v>39289</v>
      </c>
      <c r="H57" s="96">
        <v>0.62152777777777801</v>
      </c>
    </row>
    <row r="58" spans="1:8" x14ac:dyDescent="0.15">
      <c r="A58" s="94">
        <v>39290</v>
      </c>
      <c r="B58" s="95" t="s">
        <v>543</v>
      </c>
      <c r="C58" s="95" t="s">
        <v>549</v>
      </c>
      <c r="D58" s="95" t="s">
        <v>691</v>
      </c>
      <c r="E58" s="95" t="s">
        <v>526</v>
      </c>
      <c r="F58" s="95" t="s">
        <v>527</v>
      </c>
      <c r="G58" s="94">
        <v>39289</v>
      </c>
      <c r="H58" s="96">
        <v>0.62152777777777801</v>
      </c>
    </row>
    <row r="59" spans="1:8" x14ac:dyDescent="0.15">
      <c r="A59" s="94">
        <v>39290</v>
      </c>
      <c r="B59" s="95" t="s">
        <v>543</v>
      </c>
      <c r="C59" s="95" t="s">
        <v>550</v>
      </c>
      <c r="D59" s="95" t="s">
        <v>691</v>
      </c>
      <c r="E59" s="95" t="s">
        <v>689</v>
      </c>
      <c r="F59" s="95" t="s">
        <v>527</v>
      </c>
      <c r="G59" s="94">
        <v>39289</v>
      </c>
      <c r="H59" s="96">
        <v>0.62152777777777801</v>
      </c>
    </row>
    <row r="60" spans="1:8" x14ac:dyDescent="0.15">
      <c r="A60" s="94">
        <v>39290</v>
      </c>
      <c r="B60" s="95" t="s">
        <v>543</v>
      </c>
      <c r="C60" s="95" t="s">
        <v>551</v>
      </c>
      <c r="D60" s="95" t="s">
        <v>691</v>
      </c>
      <c r="E60" s="95" t="s">
        <v>552</v>
      </c>
      <c r="F60" s="95" t="s">
        <v>527</v>
      </c>
      <c r="G60" s="94">
        <v>39289</v>
      </c>
      <c r="H60" s="96">
        <v>0.62152777777777801</v>
      </c>
    </row>
    <row r="61" spans="1:8" x14ac:dyDescent="0.15">
      <c r="A61" s="94">
        <v>39290</v>
      </c>
      <c r="B61" s="95" t="s">
        <v>543</v>
      </c>
      <c r="C61" s="95" t="s">
        <v>535</v>
      </c>
      <c r="D61" s="95" t="s">
        <v>511</v>
      </c>
      <c r="E61" s="95" t="s">
        <v>529</v>
      </c>
      <c r="F61" s="95" t="s">
        <v>527</v>
      </c>
      <c r="G61" s="94">
        <v>39289</v>
      </c>
      <c r="H61" s="96">
        <v>0.62152777777777801</v>
      </c>
    </row>
    <row r="62" spans="1:8" x14ac:dyDescent="0.15">
      <c r="A62" s="91">
        <v>39286</v>
      </c>
      <c r="B62" s="92" t="s">
        <v>686</v>
      </c>
      <c r="C62" s="92" t="s">
        <v>553</v>
      </c>
      <c r="D62" s="92" t="s">
        <v>688</v>
      </c>
      <c r="E62" s="92" t="s">
        <v>548</v>
      </c>
      <c r="F62" s="92" t="s">
        <v>554</v>
      </c>
      <c r="G62" s="91">
        <v>39286</v>
      </c>
      <c r="H62" s="93">
        <v>0.58680555555555602</v>
      </c>
    </row>
    <row r="63" spans="1:8" x14ac:dyDescent="0.15">
      <c r="A63" s="91">
        <v>39286</v>
      </c>
      <c r="B63" s="92" t="s">
        <v>554</v>
      </c>
      <c r="C63" s="92" t="s">
        <v>555</v>
      </c>
      <c r="D63" s="92" t="s">
        <v>684</v>
      </c>
      <c r="E63" s="92" t="s">
        <v>532</v>
      </c>
      <c r="F63" s="92" t="s">
        <v>686</v>
      </c>
      <c r="G63" s="91">
        <v>39286</v>
      </c>
      <c r="H63" s="93">
        <v>0.58680555555555602</v>
      </c>
    </row>
    <row r="64" spans="1:8" x14ac:dyDescent="0.15">
      <c r="A64" s="91">
        <v>39286</v>
      </c>
      <c r="B64" s="92" t="s">
        <v>554</v>
      </c>
      <c r="C64" s="92" t="s">
        <v>556</v>
      </c>
      <c r="D64" s="92" t="s">
        <v>691</v>
      </c>
      <c r="E64" s="92" t="s">
        <v>538</v>
      </c>
      <c r="F64" s="92" t="s">
        <v>686</v>
      </c>
      <c r="G64" s="91">
        <v>39286</v>
      </c>
      <c r="H64" s="93">
        <v>0.58680555555555602</v>
      </c>
    </row>
    <row r="65" spans="1:8" x14ac:dyDescent="0.15">
      <c r="A65" s="91">
        <v>39286</v>
      </c>
      <c r="B65" s="92" t="s">
        <v>554</v>
      </c>
      <c r="C65" s="92" t="s">
        <v>557</v>
      </c>
      <c r="D65" s="92" t="s">
        <v>688</v>
      </c>
      <c r="E65" s="92" t="s">
        <v>695</v>
      </c>
      <c r="F65" s="92" t="s">
        <v>686</v>
      </c>
      <c r="G65" s="91">
        <v>39286</v>
      </c>
      <c r="H65" s="93">
        <v>0.58680555555555602</v>
      </c>
    </row>
    <row r="66" spans="1:8" x14ac:dyDescent="0.15">
      <c r="A66" s="91">
        <v>39286</v>
      </c>
      <c r="B66" s="92" t="s">
        <v>686</v>
      </c>
      <c r="C66" s="92" t="s">
        <v>558</v>
      </c>
      <c r="D66" s="92" t="s">
        <v>684</v>
      </c>
      <c r="E66" s="92" t="s">
        <v>559</v>
      </c>
      <c r="F66" s="92" t="s">
        <v>554</v>
      </c>
      <c r="G66" s="91">
        <v>39286</v>
      </c>
      <c r="H66" s="93">
        <v>0.58680555555555602</v>
      </c>
    </row>
    <row r="67" spans="1:8" x14ac:dyDescent="0.15">
      <c r="A67" s="91">
        <v>39286</v>
      </c>
      <c r="B67" s="92" t="s">
        <v>686</v>
      </c>
      <c r="C67" s="92" t="s">
        <v>560</v>
      </c>
      <c r="D67" s="92" t="s">
        <v>691</v>
      </c>
      <c r="E67" s="92" t="s">
        <v>561</v>
      </c>
      <c r="F67" s="92" t="s">
        <v>554</v>
      </c>
      <c r="G67" s="91">
        <v>39286</v>
      </c>
      <c r="H67" s="93">
        <v>0.58680555555555602</v>
      </c>
    </row>
    <row r="68" spans="1:8" x14ac:dyDescent="0.15">
      <c r="A68" s="94">
        <v>39286</v>
      </c>
      <c r="B68" s="95" t="s">
        <v>682</v>
      </c>
      <c r="C68" s="95" t="s">
        <v>531</v>
      </c>
      <c r="D68" s="95" t="s">
        <v>691</v>
      </c>
      <c r="E68" s="95" t="s">
        <v>532</v>
      </c>
      <c r="F68" s="95" t="s">
        <v>527</v>
      </c>
      <c r="G68" s="94">
        <v>39286</v>
      </c>
      <c r="H68" s="96">
        <v>0.42708333333333298</v>
      </c>
    </row>
    <row r="69" spans="1:8" x14ac:dyDescent="0.15">
      <c r="A69" s="94">
        <v>39286</v>
      </c>
      <c r="B69" s="95" t="s">
        <v>527</v>
      </c>
      <c r="C69" s="95" t="s">
        <v>562</v>
      </c>
      <c r="D69" s="95" t="s">
        <v>688</v>
      </c>
      <c r="E69" s="95" t="s">
        <v>548</v>
      </c>
      <c r="F69" s="95" t="s">
        <v>682</v>
      </c>
      <c r="G69" s="94">
        <v>39286</v>
      </c>
      <c r="H69" s="96">
        <v>0.42708333333333298</v>
      </c>
    </row>
    <row r="70" spans="1:8" x14ac:dyDescent="0.15">
      <c r="A70" s="91">
        <v>39286</v>
      </c>
      <c r="B70" s="92" t="s">
        <v>563</v>
      </c>
      <c r="C70" s="92" t="s">
        <v>564</v>
      </c>
      <c r="D70" s="92" t="s">
        <v>565</v>
      </c>
      <c r="E70" s="92" t="s">
        <v>685</v>
      </c>
      <c r="F70" s="92" t="s">
        <v>566</v>
      </c>
      <c r="G70" s="91">
        <v>39285</v>
      </c>
      <c r="H70" s="93">
        <v>0.44236111111111098</v>
      </c>
    </row>
    <row r="71" spans="1:8" x14ac:dyDescent="0.15">
      <c r="A71" s="91">
        <v>39285</v>
      </c>
      <c r="B71" s="92" t="s">
        <v>563</v>
      </c>
      <c r="C71" s="92" t="s">
        <v>567</v>
      </c>
      <c r="D71" s="92" t="s">
        <v>691</v>
      </c>
      <c r="E71" s="92" t="s">
        <v>522</v>
      </c>
      <c r="F71" s="92" t="s">
        <v>566</v>
      </c>
      <c r="G71" s="91">
        <v>39285</v>
      </c>
      <c r="H71" s="93">
        <v>0.44236111111111098</v>
      </c>
    </row>
    <row r="72" spans="1:8" x14ac:dyDescent="0.15">
      <c r="A72" s="91">
        <v>39285</v>
      </c>
      <c r="B72" s="92" t="s">
        <v>563</v>
      </c>
      <c r="C72" s="92" t="s">
        <v>568</v>
      </c>
      <c r="D72" s="92" t="s">
        <v>691</v>
      </c>
      <c r="E72" s="92" t="s">
        <v>559</v>
      </c>
      <c r="F72" s="92" t="s">
        <v>566</v>
      </c>
      <c r="G72" s="91">
        <v>39285</v>
      </c>
      <c r="H72" s="93">
        <v>0.44236111111111098</v>
      </c>
    </row>
    <row r="73" spans="1:8" x14ac:dyDescent="0.15">
      <c r="A73" s="91">
        <v>39285</v>
      </c>
      <c r="B73" s="92" t="s">
        <v>563</v>
      </c>
      <c r="C73" s="92" t="s">
        <v>569</v>
      </c>
      <c r="D73" s="92" t="s">
        <v>688</v>
      </c>
      <c r="E73" s="92" t="s">
        <v>570</v>
      </c>
      <c r="F73" s="92" t="s">
        <v>566</v>
      </c>
      <c r="G73" s="91">
        <v>39285</v>
      </c>
      <c r="H73" s="93">
        <v>0.44236111111111098</v>
      </c>
    </row>
    <row r="74" spans="1:8" x14ac:dyDescent="0.15">
      <c r="A74" s="91">
        <v>39285</v>
      </c>
      <c r="B74" s="92" t="s">
        <v>563</v>
      </c>
      <c r="C74" s="92" t="s">
        <v>571</v>
      </c>
      <c r="D74" s="92" t="s">
        <v>519</v>
      </c>
      <c r="E74" s="92" t="s">
        <v>572</v>
      </c>
      <c r="F74" s="92" t="s">
        <v>566</v>
      </c>
      <c r="G74" s="91">
        <v>39285</v>
      </c>
      <c r="H74" s="93">
        <v>0.44236111111111098</v>
      </c>
    </row>
    <row r="75" spans="1:8" x14ac:dyDescent="0.15">
      <c r="A75" s="91">
        <v>39285</v>
      </c>
      <c r="B75" s="92" t="s">
        <v>566</v>
      </c>
      <c r="C75" s="92" t="s">
        <v>573</v>
      </c>
      <c r="D75" s="92" t="s">
        <v>519</v>
      </c>
      <c r="E75" s="92" t="s">
        <v>695</v>
      </c>
      <c r="F75" s="92" t="s">
        <v>563</v>
      </c>
      <c r="G75" s="91">
        <v>39285</v>
      </c>
      <c r="H75" s="93">
        <v>0.44236111111111098</v>
      </c>
    </row>
    <row r="76" spans="1:8" x14ac:dyDescent="0.15">
      <c r="A76" s="91">
        <v>39285</v>
      </c>
      <c r="B76" s="92" t="s">
        <v>566</v>
      </c>
      <c r="C76" s="92" t="s">
        <v>574</v>
      </c>
      <c r="D76" s="92" t="s">
        <v>694</v>
      </c>
      <c r="E76" s="92" t="s">
        <v>692</v>
      </c>
      <c r="F76" s="92" t="s">
        <v>563</v>
      </c>
      <c r="G76" s="91">
        <v>39285</v>
      </c>
      <c r="H76" s="93">
        <v>0.44236111111111098</v>
      </c>
    </row>
    <row r="77" spans="1:8" x14ac:dyDescent="0.15">
      <c r="A77" s="91">
        <v>39285</v>
      </c>
      <c r="B77" s="92" t="s">
        <v>566</v>
      </c>
      <c r="C77" s="92" t="s">
        <v>575</v>
      </c>
      <c r="D77" s="92" t="s">
        <v>688</v>
      </c>
      <c r="E77" s="92" t="s">
        <v>692</v>
      </c>
      <c r="F77" s="92" t="s">
        <v>563</v>
      </c>
      <c r="G77" s="91">
        <v>39285</v>
      </c>
      <c r="H77" s="93">
        <v>0.44236111111111098</v>
      </c>
    </row>
    <row r="78" spans="1:8" x14ac:dyDescent="0.15">
      <c r="A78" s="91">
        <v>39285</v>
      </c>
      <c r="B78" s="92" t="s">
        <v>566</v>
      </c>
      <c r="C78" s="92" t="s">
        <v>576</v>
      </c>
      <c r="D78" s="92" t="s">
        <v>691</v>
      </c>
      <c r="E78" s="92" t="s">
        <v>517</v>
      </c>
      <c r="F78" s="92" t="s">
        <v>563</v>
      </c>
      <c r="G78" s="91">
        <v>39285</v>
      </c>
      <c r="H78" s="93">
        <v>0.44236111111111098</v>
      </c>
    </row>
    <row r="79" spans="1:8" x14ac:dyDescent="0.15">
      <c r="A79" s="94">
        <v>39279</v>
      </c>
      <c r="B79" s="95" t="s">
        <v>682</v>
      </c>
      <c r="C79" s="95" t="s">
        <v>577</v>
      </c>
      <c r="D79" s="95" t="s">
        <v>511</v>
      </c>
      <c r="E79" s="95" t="s">
        <v>570</v>
      </c>
      <c r="F79" s="95" t="s">
        <v>566</v>
      </c>
      <c r="G79" s="94">
        <v>39279</v>
      </c>
      <c r="H79" s="96">
        <v>0.57222222222222197</v>
      </c>
    </row>
    <row r="80" spans="1:8" x14ac:dyDescent="0.15">
      <c r="A80" s="94">
        <v>39279</v>
      </c>
      <c r="B80" s="95" t="s">
        <v>682</v>
      </c>
      <c r="C80" s="95" t="s">
        <v>578</v>
      </c>
      <c r="D80" s="95" t="s">
        <v>691</v>
      </c>
      <c r="E80" s="95" t="s">
        <v>579</v>
      </c>
      <c r="F80" s="95" t="s">
        <v>566</v>
      </c>
      <c r="G80" s="94">
        <v>39279</v>
      </c>
      <c r="H80" s="96">
        <v>0.57222222222222197</v>
      </c>
    </row>
    <row r="81" spans="1:8" x14ac:dyDescent="0.15">
      <c r="A81" s="94">
        <v>39279</v>
      </c>
      <c r="B81" s="95" t="s">
        <v>566</v>
      </c>
      <c r="C81" s="95" t="s">
        <v>580</v>
      </c>
      <c r="D81" s="95" t="s">
        <v>691</v>
      </c>
      <c r="E81" s="95" t="s">
        <v>581</v>
      </c>
      <c r="F81" s="95" t="s">
        <v>682</v>
      </c>
      <c r="G81" s="94">
        <v>39279</v>
      </c>
      <c r="H81" s="96">
        <v>0.57222222222222197</v>
      </c>
    </row>
    <row r="82" spans="1:8" x14ac:dyDescent="0.15">
      <c r="A82" s="94">
        <v>39279</v>
      </c>
      <c r="B82" s="95" t="s">
        <v>566</v>
      </c>
      <c r="C82" s="95" t="s">
        <v>582</v>
      </c>
      <c r="D82" s="95" t="s">
        <v>688</v>
      </c>
      <c r="E82" s="95" t="s">
        <v>517</v>
      </c>
      <c r="F82" s="95" t="s">
        <v>682</v>
      </c>
      <c r="G82" s="94">
        <v>39279</v>
      </c>
      <c r="H82" s="96">
        <v>0.57222222222222197</v>
      </c>
    </row>
    <row r="83" spans="1:8" x14ac:dyDescent="0.15">
      <c r="A83" s="91">
        <v>39267</v>
      </c>
      <c r="B83" s="92" t="s">
        <v>682</v>
      </c>
      <c r="C83" s="92" t="s">
        <v>583</v>
      </c>
      <c r="D83" s="92" t="s">
        <v>688</v>
      </c>
      <c r="E83" s="92" t="s">
        <v>534</v>
      </c>
      <c r="F83" s="92" t="s">
        <v>524</v>
      </c>
      <c r="G83" s="91">
        <v>39267</v>
      </c>
      <c r="H83" s="93">
        <v>4.8611111111111098E-2</v>
      </c>
    </row>
    <row r="84" spans="1:8" x14ac:dyDescent="0.15">
      <c r="A84" s="91">
        <v>39267</v>
      </c>
      <c r="B84" s="92" t="s">
        <v>524</v>
      </c>
      <c r="C84" s="92" t="s">
        <v>693</v>
      </c>
      <c r="D84" s="92" t="s">
        <v>694</v>
      </c>
      <c r="E84" s="92" t="s">
        <v>695</v>
      </c>
      <c r="F84" s="92" t="s">
        <v>682</v>
      </c>
      <c r="G84" s="91">
        <v>39267</v>
      </c>
      <c r="H84" s="93">
        <v>4.8611111111111098E-2</v>
      </c>
    </row>
    <row r="85" spans="1:8" x14ac:dyDescent="0.15">
      <c r="A85" s="94">
        <v>39229</v>
      </c>
      <c r="B85" s="95" t="s">
        <v>527</v>
      </c>
      <c r="C85" s="95" t="s">
        <v>584</v>
      </c>
      <c r="D85" s="95" t="s">
        <v>684</v>
      </c>
      <c r="E85" s="95" t="s">
        <v>552</v>
      </c>
      <c r="F85" s="95" t="s">
        <v>585</v>
      </c>
      <c r="G85" s="94">
        <v>39228</v>
      </c>
      <c r="H85" s="96">
        <v>0.68402777777777801</v>
      </c>
    </row>
    <row r="86" spans="1:8" x14ac:dyDescent="0.15">
      <c r="A86" s="94">
        <v>39229</v>
      </c>
      <c r="B86" s="95" t="s">
        <v>585</v>
      </c>
      <c r="C86" s="95" t="s">
        <v>545</v>
      </c>
      <c r="D86" s="95" t="s">
        <v>691</v>
      </c>
      <c r="E86" s="95" t="s">
        <v>546</v>
      </c>
      <c r="F86" s="95" t="s">
        <v>527</v>
      </c>
      <c r="G86" s="94">
        <v>39228</v>
      </c>
      <c r="H86" s="96">
        <v>0.68402777777777801</v>
      </c>
    </row>
    <row r="87" spans="1:8" x14ac:dyDescent="0.15">
      <c r="A87" s="91">
        <v>39223</v>
      </c>
      <c r="B87" s="92" t="s">
        <v>527</v>
      </c>
      <c r="C87" s="92" t="s">
        <v>586</v>
      </c>
      <c r="D87" s="92" t="s">
        <v>691</v>
      </c>
      <c r="E87" s="92" t="s">
        <v>512</v>
      </c>
      <c r="F87" s="92" t="s">
        <v>682</v>
      </c>
      <c r="G87" s="91">
        <v>39222</v>
      </c>
      <c r="H87" s="93">
        <v>0.61666666666666703</v>
      </c>
    </row>
    <row r="88" spans="1:8" x14ac:dyDescent="0.15">
      <c r="A88" s="91">
        <v>39223</v>
      </c>
      <c r="B88" s="92" t="s">
        <v>682</v>
      </c>
      <c r="C88" s="92" t="s">
        <v>587</v>
      </c>
      <c r="D88" s="92" t="s">
        <v>684</v>
      </c>
      <c r="E88" s="92" t="s">
        <v>588</v>
      </c>
      <c r="F88" s="92" t="s">
        <v>527</v>
      </c>
      <c r="G88" s="91">
        <v>39222</v>
      </c>
      <c r="H88" s="93">
        <v>0.61666666666666703</v>
      </c>
    </row>
    <row r="89" spans="1:8" x14ac:dyDescent="0.15">
      <c r="A89" s="94">
        <v>39193</v>
      </c>
      <c r="B89" s="95" t="s">
        <v>527</v>
      </c>
      <c r="C89" s="95" t="s">
        <v>589</v>
      </c>
      <c r="D89" s="95" t="s">
        <v>691</v>
      </c>
      <c r="E89" s="95" t="s">
        <v>529</v>
      </c>
      <c r="F89" s="95" t="s">
        <v>524</v>
      </c>
      <c r="G89" s="94">
        <v>39192</v>
      </c>
      <c r="H89" s="96">
        <v>0.97083333333333299</v>
      </c>
    </row>
    <row r="90" spans="1:8" x14ac:dyDescent="0.15">
      <c r="A90" s="94">
        <v>39193</v>
      </c>
      <c r="B90" s="95" t="s">
        <v>524</v>
      </c>
      <c r="C90" s="95" t="s">
        <v>590</v>
      </c>
      <c r="D90" s="95" t="s">
        <v>694</v>
      </c>
      <c r="E90" s="95" t="s">
        <v>591</v>
      </c>
      <c r="F90" s="95" t="s">
        <v>527</v>
      </c>
      <c r="G90" s="94">
        <v>39192</v>
      </c>
      <c r="H90" s="96">
        <v>0.97083333333333299</v>
      </c>
    </row>
    <row r="91" spans="1:8" x14ac:dyDescent="0.15">
      <c r="A91" s="91">
        <v>39192</v>
      </c>
      <c r="B91" s="92" t="s">
        <v>682</v>
      </c>
      <c r="C91" s="92" t="s">
        <v>592</v>
      </c>
      <c r="D91" s="92" t="s">
        <v>684</v>
      </c>
      <c r="E91" s="92" t="s">
        <v>593</v>
      </c>
      <c r="F91" s="92" t="s">
        <v>554</v>
      </c>
      <c r="G91" s="91">
        <v>39192</v>
      </c>
      <c r="H91" s="93">
        <v>0.406944444444444</v>
      </c>
    </row>
    <row r="92" spans="1:8" x14ac:dyDescent="0.15">
      <c r="A92" s="91">
        <v>39192</v>
      </c>
      <c r="B92" s="92" t="s">
        <v>682</v>
      </c>
      <c r="C92" s="92" t="s">
        <v>594</v>
      </c>
      <c r="D92" s="92" t="s">
        <v>694</v>
      </c>
      <c r="E92" s="92" t="s">
        <v>689</v>
      </c>
      <c r="F92" s="92" t="s">
        <v>554</v>
      </c>
      <c r="G92" s="91">
        <v>39192</v>
      </c>
      <c r="H92" s="93">
        <v>0.406944444444444</v>
      </c>
    </row>
    <row r="93" spans="1:8" x14ac:dyDescent="0.15">
      <c r="A93" s="91">
        <v>39192</v>
      </c>
      <c r="B93" s="92" t="s">
        <v>554</v>
      </c>
      <c r="C93" s="92" t="s">
        <v>366</v>
      </c>
      <c r="D93" s="92" t="s">
        <v>519</v>
      </c>
      <c r="E93" s="92" t="s">
        <v>692</v>
      </c>
      <c r="F93" s="92" t="s">
        <v>682</v>
      </c>
      <c r="G93" s="91">
        <v>39192</v>
      </c>
      <c r="H93" s="93">
        <v>0.406944444444444</v>
      </c>
    </row>
    <row r="94" spans="1:8" x14ac:dyDescent="0.15">
      <c r="A94" s="91">
        <v>39192</v>
      </c>
      <c r="B94" s="92" t="s">
        <v>554</v>
      </c>
      <c r="C94" s="92" t="s">
        <v>367</v>
      </c>
      <c r="D94" s="92" t="s">
        <v>688</v>
      </c>
      <c r="E94" s="92" t="s">
        <v>512</v>
      </c>
      <c r="F94" s="92" t="s">
        <v>682</v>
      </c>
      <c r="G94" s="91">
        <v>39192</v>
      </c>
      <c r="H94" s="93">
        <v>0.406944444444444</v>
      </c>
    </row>
    <row r="95" spans="1:8" x14ac:dyDescent="0.15">
      <c r="A95" s="94">
        <v>39184</v>
      </c>
      <c r="B95" s="95" t="s">
        <v>682</v>
      </c>
      <c r="C95" s="95" t="s">
        <v>515</v>
      </c>
      <c r="D95" s="95" t="s">
        <v>688</v>
      </c>
      <c r="E95" s="95" t="s">
        <v>692</v>
      </c>
      <c r="F95" s="95" t="s">
        <v>686</v>
      </c>
      <c r="G95" s="94">
        <v>39184</v>
      </c>
      <c r="H95" s="96">
        <v>0.46458333333333302</v>
      </c>
    </row>
    <row r="96" spans="1:8" x14ac:dyDescent="0.15">
      <c r="A96" s="94">
        <v>39184</v>
      </c>
      <c r="B96" s="95" t="s">
        <v>682</v>
      </c>
      <c r="C96" s="95" t="s">
        <v>368</v>
      </c>
      <c r="D96" s="95" t="s">
        <v>684</v>
      </c>
      <c r="E96" s="95" t="s">
        <v>369</v>
      </c>
      <c r="F96" s="95" t="s">
        <v>686</v>
      </c>
      <c r="G96" s="94">
        <v>39184</v>
      </c>
      <c r="H96" s="96">
        <v>0.46458333333333302</v>
      </c>
    </row>
    <row r="97" spans="1:8" x14ac:dyDescent="0.15">
      <c r="A97" s="94">
        <v>39184</v>
      </c>
      <c r="B97" s="95" t="s">
        <v>686</v>
      </c>
      <c r="C97" s="95" t="s">
        <v>370</v>
      </c>
      <c r="D97" s="95" t="s">
        <v>565</v>
      </c>
      <c r="E97" s="95" t="s">
        <v>529</v>
      </c>
      <c r="F97" s="95" t="s">
        <v>682</v>
      </c>
      <c r="G97" s="94">
        <v>39184</v>
      </c>
      <c r="H97" s="96">
        <v>0.46458333333333302</v>
      </c>
    </row>
    <row r="98" spans="1:8" x14ac:dyDescent="0.15">
      <c r="A98" s="94">
        <v>39184</v>
      </c>
      <c r="B98" s="95" t="s">
        <v>686</v>
      </c>
      <c r="C98" s="95" t="s">
        <v>583</v>
      </c>
      <c r="D98" s="95" t="s">
        <v>688</v>
      </c>
      <c r="E98" s="95" t="s">
        <v>534</v>
      </c>
      <c r="F98" s="95" t="s">
        <v>682</v>
      </c>
      <c r="G98" s="94">
        <v>39184</v>
      </c>
      <c r="H98" s="96">
        <v>0.46458333333333302</v>
      </c>
    </row>
    <row r="99" spans="1:8" x14ac:dyDescent="0.15">
      <c r="A99" s="91">
        <v>39173</v>
      </c>
      <c r="B99" s="92" t="s">
        <v>682</v>
      </c>
      <c r="C99" s="92" t="s">
        <v>371</v>
      </c>
      <c r="D99" s="92" t="s">
        <v>688</v>
      </c>
      <c r="E99" s="92" t="s">
        <v>581</v>
      </c>
      <c r="F99" s="92" t="s">
        <v>530</v>
      </c>
      <c r="G99" s="91">
        <v>39161</v>
      </c>
      <c r="H99" s="93">
        <v>0.99375000000000002</v>
      </c>
    </row>
    <row r="100" spans="1:8" x14ac:dyDescent="0.15">
      <c r="A100" s="91">
        <v>39173</v>
      </c>
      <c r="B100" s="92" t="s">
        <v>530</v>
      </c>
      <c r="C100" s="92" t="s">
        <v>372</v>
      </c>
      <c r="D100" s="92" t="s">
        <v>565</v>
      </c>
      <c r="E100" s="92" t="s">
        <v>546</v>
      </c>
      <c r="F100" s="92" t="s">
        <v>682</v>
      </c>
      <c r="G100" s="91">
        <v>39161</v>
      </c>
      <c r="H100" s="93">
        <v>0.99375000000000002</v>
      </c>
    </row>
    <row r="101" spans="1:8" x14ac:dyDescent="0.15">
      <c r="A101" s="95"/>
      <c r="B101" s="95"/>
      <c r="C101" s="95"/>
      <c r="D101" s="95"/>
      <c r="E101" s="95"/>
      <c r="F101" s="95"/>
      <c r="G101" s="95"/>
      <c r="H101" s="95"/>
    </row>
    <row r="102" spans="1:8" x14ac:dyDescent="0.15">
      <c r="A102" s="95"/>
      <c r="B102" s="95"/>
      <c r="C102" s="95"/>
      <c r="D102" s="95"/>
      <c r="E102" s="95"/>
      <c r="F102" s="95"/>
      <c r="G102" s="95"/>
      <c r="H102" s="95"/>
    </row>
    <row r="103" spans="1:8" x14ac:dyDescent="0.15">
      <c r="A103" s="95"/>
      <c r="B103" s="95"/>
      <c r="C103" s="95"/>
      <c r="D103" s="95"/>
      <c r="E103" s="95"/>
      <c r="F103" s="95"/>
      <c r="G103" s="95"/>
      <c r="H103" s="95"/>
    </row>
    <row r="104" spans="1:8" x14ac:dyDescent="0.15">
      <c r="A104" s="95"/>
      <c r="B104" s="95"/>
      <c r="C104" s="95"/>
      <c r="D104" s="95"/>
      <c r="E104" s="95"/>
      <c r="F104" s="95"/>
      <c r="G104" s="95"/>
      <c r="H104" s="95"/>
    </row>
    <row r="105" spans="1:8" x14ac:dyDescent="0.15">
      <c r="A105" s="138" t="s">
        <v>373</v>
      </c>
      <c r="B105" s="138"/>
      <c r="C105" s="138"/>
      <c r="D105" s="95"/>
      <c r="E105" s="95"/>
      <c r="F105" s="95"/>
      <c r="G105" s="95"/>
      <c r="H105" s="95"/>
    </row>
    <row r="106" spans="1:8" x14ac:dyDescent="0.15">
      <c r="A106" s="95"/>
      <c r="B106" s="95"/>
      <c r="C106" s="95"/>
      <c r="D106" s="95"/>
      <c r="E106" s="95"/>
      <c r="F106" s="95"/>
      <c r="G106" s="95"/>
      <c r="H106" s="95"/>
    </row>
    <row r="107" spans="1:8" x14ac:dyDescent="0.15">
      <c r="A107" s="94">
        <v>39304</v>
      </c>
      <c r="B107" s="95" t="s">
        <v>686</v>
      </c>
      <c r="C107" s="95" t="s">
        <v>374</v>
      </c>
      <c r="D107" s="95" t="s">
        <v>375</v>
      </c>
      <c r="E107" s="95" t="s">
        <v>376</v>
      </c>
      <c r="F107" s="95" t="s">
        <v>377</v>
      </c>
      <c r="G107" s="95"/>
      <c r="H107" s="95"/>
    </row>
    <row r="108" spans="1:8" x14ac:dyDescent="0.15">
      <c r="A108" s="94">
        <v>39304</v>
      </c>
      <c r="B108" s="95" t="s">
        <v>686</v>
      </c>
      <c r="C108" s="95" t="s">
        <v>378</v>
      </c>
      <c r="D108" s="95" t="s">
        <v>379</v>
      </c>
      <c r="E108" s="95" t="s">
        <v>380</v>
      </c>
      <c r="F108" s="95" t="s">
        <v>377</v>
      </c>
      <c r="G108" s="95"/>
      <c r="H108" s="95"/>
    </row>
    <row r="109" spans="1:8" x14ac:dyDescent="0.15">
      <c r="A109" s="94">
        <v>39304</v>
      </c>
      <c r="B109" s="95" t="s">
        <v>686</v>
      </c>
      <c r="C109" s="95" t="s">
        <v>381</v>
      </c>
      <c r="D109" s="95" t="s">
        <v>382</v>
      </c>
      <c r="E109" s="95" t="s">
        <v>383</v>
      </c>
      <c r="F109" s="95" t="s">
        <v>377</v>
      </c>
      <c r="G109" s="95"/>
      <c r="H109" s="95"/>
    </row>
    <row r="110" spans="1:8" x14ac:dyDescent="0.15">
      <c r="A110" s="94">
        <v>39304</v>
      </c>
      <c r="B110" s="95" t="s">
        <v>686</v>
      </c>
      <c r="C110" s="95" t="s">
        <v>606</v>
      </c>
      <c r="D110" s="95" t="s">
        <v>607</v>
      </c>
      <c r="E110" s="95" t="s">
        <v>608</v>
      </c>
      <c r="F110" s="95" t="s">
        <v>377</v>
      </c>
      <c r="G110" s="95"/>
      <c r="H110" s="95"/>
    </row>
    <row r="111" spans="1:8" x14ac:dyDescent="0.15">
      <c r="A111" s="94">
        <v>39304</v>
      </c>
      <c r="B111" s="95" t="s">
        <v>686</v>
      </c>
      <c r="C111" s="95" t="s">
        <v>609</v>
      </c>
      <c r="D111" s="95" t="s">
        <v>610</v>
      </c>
      <c r="E111" s="95" t="s">
        <v>611</v>
      </c>
      <c r="F111" s="95" t="s">
        <v>377</v>
      </c>
      <c r="G111" s="95"/>
      <c r="H111" s="95"/>
    </row>
    <row r="112" spans="1:8" x14ac:dyDescent="0.15">
      <c r="A112" s="94">
        <v>39304</v>
      </c>
      <c r="B112" s="95" t="s">
        <v>377</v>
      </c>
      <c r="C112" s="95" t="s">
        <v>612</v>
      </c>
      <c r="D112" s="95" t="s">
        <v>613</v>
      </c>
      <c r="E112" s="95" t="s">
        <v>614</v>
      </c>
      <c r="F112" s="95" t="s">
        <v>686</v>
      </c>
      <c r="G112" s="95"/>
      <c r="H112" s="95"/>
    </row>
    <row r="113" spans="1:8" x14ac:dyDescent="0.15">
      <c r="A113" s="94">
        <v>39304</v>
      </c>
      <c r="B113" s="95" t="s">
        <v>377</v>
      </c>
      <c r="C113" s="95" t="s">
        <v>615</v>
      </c>
      <c r="D113" s="95" t="s">
        <v>379</v>
      </c>
      <c r="E113" s="95" t="s">
        <v>383</v>
      </c>
      <c r="F113" s="95" t="s">
        <v>686</v>
      </c>
      <c r="G113" s="95"/>
      <c r="H113" s="95"/>
    </row>
    <row r="114" spans="1:8" x14ac:dyDescent="0.15">
      <c r="A114" s="94">
        <v>39304</v>
      </c>
      <c r="B114" s="95" t="s">
        <v>377</v>
      </c>
      <c r="C114" s="95" t="s">
        <v>616</v>
      </c>
      <c r="D114" s="95" t="s">
        <v>382</v>
      </c>
      <c r="E114" s="95" t="s">
        <v>617</v>
      </c>
      <c r="F114" s="95" t="s">
        <v>686</v>
      </c>
      <c r="G114" s="95"/>
      <c r="H114" s="95"/>
    </row>
    <row r="115" spans="1:8" x14ac:dyDescent="0.15">
      <c r="A115" s="94">
        <v>39304</v>
      </c>
      <c r="B115" s="95" t="s">
        <v>377</v>
      </c>
      <c r="C115" s="95" t="s">
        <v>618</v>
      </c>
      <c r="D115" s="95" t="s">
        <v>607</v>
      </c>
      <c r="E115" s="95" t="s">
        <v>619</v>
      </c>
      <c r="F115" s="95" t="s">
        <v>686</v>
      </c>
      <c r="G115" s="95"/>
      <c r="H115" s="95"/>
    </row>
    <row r="116" spans="1:8" x14ac:dyDescent="0.15">
      <c r="A116" s="94">
        <v>39304</v>
      </c>
      <c r="B116" s="95" t="s">
        <v>377</v>
      </c>
      <c r="C116" s="95" t="s">
        <v>620</v>
      </c>
      <c r="D116" s="95" t="s">
        <v>607</v>
      </c>
      <c r="E116" s="95" t="s">
        <v>621</v>
      </c>
      <c r="F116" s="95" t="s">
        <v>686</v>
      </c>
      <c r="G116" s="95"/>
      <c r="H116" s="95"/>
    </row>
    <row r="117" spans="1:8" x14ac:dyDescent="0.15">
      <c r="A117" s="95"/>
      <c r="B117" s="95"/>
      <c r="C117" s="95"/>
      <c r="D117" s="95"/>
      <c r="E117" s="95"/>
      <c r="F117" s="95"/>
      <c r="G117" s="95"/>
      <c r="H117" s="95"/>
    </row>
    <row r="118" spans="1:8" x14ac:dyDescent="0.15">
      <c r="A118" s="138" t="s">
        <v>622</v>
      </c>
      <c r="B118" s="138"/>
      <c r="C118" s="95"/>
      <c r="D118" s="95"/>
      <c r="E118" s="95"/>
      <c r="F118" s="95"/>
      <c r="G118" s="95"/>
      <c r="H118" s="95"/>
    </row>
    <row r="119" spans="1:8" x14ac:dyDescent="0.15">
      <c r="A119" s="138" t="s">
        <v>623</v>
      </c>
      <c r="B119" s="138"/>
      <c r="C119" s="138"/>
      <c r="D119" s="138"/>
      <c r="E119" s="95"/>
      <c r="F119" s="95"/>
      <c r="G119" s="95"/>
      <c r="H119" s="95"/>
    </row>
  </sheetData>
  <mergeCells count="3">
    <mergeCell ref="A105:C105"/>
    <mergeCell ref="A118:B118"/>
    <mergeCell ref="A119:D119"/>
  </mergeCells>
  <phoneticPr fontId="0" type="noConversion"/>
  <pageMargins left="0.7" right="0.7" top="0.75" bottom="0.75" header="0.5" footer="0.5"/>
  <pageSetup paperSize="0" orientation="landscape" horizontalDpi="4294967292" verticalDpi="429496729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86"/>
  <sheetViews>
    <sheetView workbookViewId="0">
      <selection activeCell="I32" sqref="I32"/>
    </sheetView>
  </sheetViews>
  <sheetFormatPr baseColWidth="10" defaultColWidth="8.6640625" defaultRowHeight="13" x14ac:dyDescent="0.15"/>
  <cols>
    <col min="1" max="1" width="23" customWidth="1"/>
    <col min="2" max="2" width="13.5" customWidth="1"/>
    <col min="3" max="3" width="12.6640625" customWidth="1"/>
    <col min="4" max="4" width="10" bestFit="1" customWidth="1"/>
    <col min="5" max="5" width="11.1640625" bestFit="1" customWidth="1"/>
  </cols>
  <sheetData>
    <row r="1" spans="1:6" s="23" customFormat="1" x14ac:dyDescent="0.15">
      <c r="A1" s="22" t="s">
        <v>650</v>
      </c>
      <c r="B1" s="22" t="s">
        <v>655</v>
      </c>
      <c r="C1" s="22" t="s">
        <v>651</v>
      </c>
      <c r="D1" s="22" t="s">
        <v>652</v>
      </c>
      <c r="E1" s="22" t="s">
        <v>653</v>
      </c>
      <c r="F1" s="22"/>
    </row>
    <row r="2" spans="1:6" x14ac:dyDescent="0.15">
      <c r="A2" s="27" t="s">
        <v>638</v>
      </c>
      <c r="B2" s="21" t="s">
        <v>768</v>
      </c>
      <c r="C2" s="24">
        <v>8685</v>
      </c>
      <c r="D2" s="25">
        <v>3</v>
      </c>
      <c r="E2" s="26">
        <v>12.7</v>
      </c>
      <c r="F2" s="19"/>
    </row>
    <row r="3" spans="1:6" x14ac:dyDescent="0.15">
      <c r="A3" s="27" t="s">
        <v>639</v>
      </c>
      <c r="B3" s="21" t="s">
        <v>803</v>
      </c>
      <c r="C3" s="24">
        <v>8253</v>
      </c>
      <c r="D3" s="25">
        <v>2.9</v>
      </c>
      <c r="E3" s="26">
        <v>11.8</v>
      </c>
      <c r="F3" s="19"/>
    </row>
    <row r="4" spans="1:6" x14ac:dyDescent="0.15">
      <c r="A4" s="27" t="s">
        <v>640</v>
      </c>
      <c r="B4" s="21" t="s">
        <v>801</v>
      </c>
      <c r="C4" s="24">
        <v>8248</v>
      </c>
      <c r="D4" s="25">
        <v>2.8</v>
      </c>
      <c r="E4" s="26">
        <v>12.5</v>
      </c>
      <c r="F4" s="19"/>
    </row>
    <row r="5" spans="1:6" x14ac:dyDescent="0.15">
      <c r="A5" s="27" t="s">
        <v>641</v>
      </c>
      <c r="B5" s="21" t="s">
        <v>719</v>
      </c>
      <c r="C5" s="24">
        <v>8230</v>
      </c>
      <c r="D5" s="25">
        <v>2.7</v>
      </c>
      <c r="E5" s="26">
        <v>12.9</v>
      </c>
      <c r="F5" s="19"/>
    </row>
    <row r="6" spans="1:6" x14ac:dyDescent="0.15">
      <c r="A6" s="27" t="s">
        <v>642</v>
      </c>
      <c r="B6" s="21" t="s">
        <v>596</v>
      </c>
      <c r="C6" s="24">
        <v>7897</v>
      </c>
      <c r="D6" s="25">
        <v>2.6</v>
      </c>
      <c r="E6" s="26">
        <v>12.1</v>
      </c>
      <c r="F6" s="19"/>
    </row>
    <row r="7" spans="1:6" x14ac:dyDescent="0.15">
      <c r="A7" s="27" t="s">
        <v>643</v>
      </c>
      <c r="B7" s="21" t="s">
        <v>736</v>
      </c>
      <c r="C7" s="24">
        <v>7862</v>
      </c>
      <c r="D7" s="25">
        <v>2.7</v>
      </c>
      <c r="E7" s="26">
        <v>12.3</v>
      </c>
      <c r="F7" s="19"/>
    </row>
    <row r="8" spans="1:6" x14ac:dyDescent="0.15">
      <c r="A8" s="27" t="s">
        <v>644</v>
      </c>
      <c r="B8" s="21" t="s">
        <v>805</v>
      </c>
      <c r="C8" s="24">
        <v>7808</v>
      </c>
      <c r="D8" s="25">
        <v>2.5</v>
      </c>
      <c r="E8" s="26">
        <v>12.9</v>
      </c>
      <c r="F8" s="19"/>
    </row>
    <row r="9" spans="1:6" x14ac:dyDescent="0.15">
      <c r="A9" s="27" t="s">
        <v>645</v>
      </c>
      <c r="B9" s="21" t="s">
        <v>797</v>
      </c>
      <c r="C9" s="24">
        <v>7540</v>
      </c>
      <c r="D9" s="25">
        <v>2.8</v>
      </c>
      <c r="E9" s="26">
        <v>10.4</v>
      </c>
      <c r="F9" s="19"/>
    </row>
    <row r="10" spans="1:6" x14ac:dyDescent="0.15">
      <c r="A10" s="27" t="s">
        <v>646</v>
      </c>
      <c r="B10" s="21" t="s">
        <v>730</v>
      </c>
      <c r="C10" s="24">
        <v>7467</v>
      </c>
      <c r="D10" s="25">
        <v>2.7</v>
      </c>
      <c r="E10" s="26">
        <v>10.6</v>
      </c>
      <c r="F10" s="19"/>
    </row>
    <row r="11" spans="1:6" x14ac:dyDescent="0.15">
      <c r="A11" s="27" t="s">
        <v>647</v>
      </c>
      <c r="B11" s="21" t="s">
        <v>654</v>
      </c>
      <c r="C11" s="24">
        <v>7375</v>
      </c>
      <c r="D11" s="25">
        <v>2.8</v>
      </c>
      <c r="E11" s="26">
        <v>10.3</v>
      </c>
      <c r="F11" s="19"/>
    </row>
    <row r="12" spans="1:6" x14ac:dyDescent="0.15">
      <c r="A12" s="27" t="s">
        <v>648</v>
      </c>
      <c r="B12" s="21" t="s">
        <v>770</v>
      </c>
      <c r="C12" s="24">
        <v>7071</v>
      </c>
      <c r="D12" s="25">
        <v>2.4</v>
      </c>
      <c r="E12" s="26">
        <v>11.1</v>
      </c>
      <c r="F12" s="19"/>
    </row>
    <row r="13" spans="1:6" x14ac:dyDescent="0.15">
      <c r="A13" s="27" t="s">
        <v>649</v>
      </c>
      <c r="B13" s="21" t="s">
        <v>721</v>
      </c>
      <c r="C13" s="24">
        <v>6773</v>
      </c>
      <c r="D13" s="25">
        <v>2.6</v>
      </c>
      <c r="E13" s="26">
        <v>9.3000000000000007</v>
      </c>
      <c r="F13" s="19"/>
    </row>
    <row r="14" spans="1:6" x14ac:dyDescent="0.15">
      <c r="A14" s="19"/>
      <c r="B14" s="19"/>
      <c r="C14" s="19"/>
      <c r="D14" s="19"/>
      <c r="E14" s="19"/>
      <c r="F14" s="19"/>
    </row>
    <row r="15" spans="1:6" x14ac:dyDescent="0.15">
      <c r="A15" s="20"/>
      <c r="B15" s="20"/>
      <c r="C15" s="20"/>
      <c r="D15" s="20"/>
      <c r="E15" s="20"/>
      <c r="F15" s="20"/>
    </row>
    <row r="16" spans="1:6" x14ac:dyDescent="0.15">
      <c r="A16" s="20"/>
      <c r="B16" s="20"/>
      <c r="C16" s="20"/>
      <c r="D16" s="20"/>
      <c r="E16" s="20"/>
      <c r="F16" s="20"/>
    </row>
    <row r="17" spans="1:7" x14ac:dyDescent="0.15">
      <c r="A17" s="1" t="s">
        <v>681</v>
      </c>
    </row>
    <row r="19" spans="1:7" ht="16" x14ac:dyDescent="0.2">
      <c r="B19" s="97" t="s">
        <v>624</v>
      </c>
      <c r="C19" s="97" t="s">
        <v>625</v>
      </c>
      <c r="D19" s="97" t="s">
        <v>626</v>
      </c>
      <c r="E19" s="97" t="s">
        <v>627</v>
      </c>
      <c r="F19" s="97" t="s">
        <v>628</v>
      </c>
      <c r="G19" s="98"/>
    </row>
    <row r="20" spans="1:7" ht="16" x14ac:dyDescent="0.2">
      <c r="B20" s="99" t="s">
        <v>563</v>
      </c>
      <c r="C20" s="99" t="s">
        <v>629</v>
      </c>
      <c r="D20" s="99" t="s">
        <v>392</v>
      </c>
      <c r="E20" s="100">
        <v>39662</v>
      </c>
      <c r="F20" s="101">
        <v>0.76736111111111105</v>
      </c>
      <c r="G20" s="98"/>
    </row>
    <row r="21" spans="1:7" ht="16" x14ac:dyDescent="0.2">
      <c r="B21" s="99" t="s">
        <v>563</v>
      </c>
      <c r="C21" s="99" t="s">
        <v>393</v>
      </c>
      <c r="D21" s="99" t="s">
        <v>392</v>
      </c>
      <c r="E21" s="100">
        <v>39662</v>
      </c>
      <c r="F21" s="101">
        <v>0.76736111111111105</v>
      </c>
      <c r="G21" s="98"/>
    </row>
    <row r="22" spans="1:7" ht="16" x14ac:dyDescent="0.2">
      <c r="B22" s="99" t="s">
        <v>563</v>
      </c>
      <c r="C22" s="99" t="s">
        <v>394</v>
      </c>
      <c r="D22" s="99" t="s">
        <v>392</v>
      </c>
      <c r="E22" s="100">
        <v>39662</v>
      </c>
      <c r="F22" s="101">
        <v>0.76736111111111105</v>
      </c>
      <c r="G22" s="98"/>
    </row>
    <row r="23" spans="1:7" ht="16" x14ac:dyDescent="0.2">
      <c r="B23" s="99" t="s">
        <v>563</v>
      </c>
      <c r="C23" s="99" t="s">
        <v>395</v>
      </c>
      <c r="D23" s="99" t="s">
        <v>392</v>
      </c>
      <c r="E23" s="100">
        <v>39662</v>
      </c>
      <c r="F23" s="101">
        <v>0.76736111111111105</v>
      </c>
      <c r="G23" s="98"/>
    </row>
    <row r="24" spans="1:7" ht="16" x14ac:dyDescent="0.2">
      <c r="B24" s="99" t="s">
        <v>563</v>
      </c>
      <c r="C24" s="99" t="s">
        <v>396</v>
      </c>
      <c r="D24" s="99" t="s">
        <v>392</v>
      </c>
      <c r="E24" s="100">
        <v>39662</v>
      </c>
      <c r="F24" s="101">
        <v>0.76736111111111105</v>
      </c>
      <c r="G24" s="98"/>
    </row>
    <row r="25" spans="1:7" ht="16" x14ac:dyDescent="0.2">
      <c r="B25" s="99" t="s">
        <v>392</v>
      </c>
      <c r="C25" s="99" t="s">
        <v>397</v>
      </c>
      <c r="D25" s="99" t="s">
        <v>563</v>
      </c>
      <c r="E25" s="100">
        <v>39662</v>
      </c>
      <c r="F25" s="101">
        <v>0.76736111111111105</v>
      </c>
      <c r="G25" s="98"/>
    </row>
    <row r="26" spans="1:7" ht="16" x14ac:dyDescent="0.2">
      <c r="B26" s="99" t="s">
        <v>392</v>
      </c>
      <c r="C26" s="99" t="s">
        <v>398</v>
      </c>
      <c r="D26" s="99" t="s">
        <v>563</v>
      </c>
      <c r="E26" s="100">
        <v>39662</v>
      </c>
      <c r="F26" s="101">
        <v>0.76736111111111105</v>
      </c>
      <c r="G26" s="98"/>
    </row>
    <row r="27" spans="1:7" ht="16" x14ac:dyDescent="0.2">
      <c r="B27" s="99" t="s">
        <v>392</v>
      </c>
      <c r="C27" s="99" t="s">
        <v>399</v>
      </c>
      <c r="D27" s="99" t="s">
        <v>563</v>
      </c>
      <c r="E27" s="100">
        <v>39662</v>
      </c>
      <c r="F27" s="101">
        <v>0.76736111111111105</v>
      </c>
      <c r="G27" s="98"/>
    </row>
    <row r="28" spans="1:7" ht="16" x14ac:dyDescent="0.2">
      <c r="B28" s="99" t="s">
        <v>392</v>
      </c>
      <c r="C28" s="99" t="s">
        <v>400</v>
      </c>
      <c r="D28" s="99" t="s">
        <v>563</v>
      </c>
      <c r="E28" s="100">
        <v>39662</v>
      </c>
      <c r="F28" s="101">
        <v>0.76736111111111105</v>
      </c>
      <c r="G28" s="98"/>
    </row>
    <row r="29" spans="1:7" ht="16" x14ac:dyDescent="0.2">
      <c r="B29" s="99" t="s">
        <v>392</v>
      </c>
      <c r="C29" s="99" t="s">
        <v>401</v>
      </c>
      <c r="D29" s="99" t="s">
        <v>563</v>
      </c>
      <c r="E29" s="100">
        <v>39662</v>
      </c>
      <c r="F29" s="101">
        <v>0.76736111111111105</v>
      </c>
      <c r="G29" s="98"/>
    </row>
    <row r="30" spans="1:7" ht="16" x14ac:dyDescent="0.2">
      <c r="B30" s="102" t="s">
        <v>402</v>
      </c>
      <c r="C30" s="102" t="s">
        <v>403</v>
      </c>
      <c r="D30" s="102" t="s">
        <v>566</v>
      </c>
      <c r="E30" s="103">
        <v>39662</v>
      </c>
      <c r="F30" s="104">
        <v>0.64236111111111105</v>
      </c>
      <c r="G30" s="98"/>
    </row>
    <row r="31" spans="1:7" ht="16" x14ac:dyDescent="0.2">
      <c r="B31" s="102" t="s">
        <v>402</v>
      </c>
      <c r="C31" s="102" t="s">
        <v>404</v>
      </c>
      <c r="D31" s="102" t="s">
        <v>566</v>
      </c>
      <c r="E31" s="103">
        <v>39662</v>
      </c>
      <c r="F31" s="104">
        <v>0.64236111111111105</v>
      </c>
      <c r="G31" s="98"/>
    </row>
    <row r="32" spans="1:7" ht="16" x14ac:dyDescent="0.2">
      <c r="B32" s="102" t="s">
        <v>402</v>
      </c>
      <c r="C32" s="102" t="s">
        <v>405</v>
      </c>
      <c r="D32" s="102" t="s">
        <v>566</v>
      </c>
      <c r="E32" s="103">
        <v>39662</v>
      </c>
      <c r="F32" s="104">
        <v>0.64236111111111105</v>
      </c>
      <c r="G32" s="98"/>
    </row>
    <row r="33" spans="2:7" ht="16" x14ac:dyDescent="0.2">
      <c r="B33" s="102" t="s">
        <v>402</v>
      </c>
      <c r="C33" s="102" t="s">
        <v>576</v>
      </c>
      <c r="D33" s="102" t="s">
        <v>566</v>
      </c>
      <c r="E33" s="103">
        <v>39662</v>
      </c>
      <c r="F33" s="104">
        <v>0.64236111111111105</v>
      </c>
      <c r="G33" s="98"/>
    </row>
    <row r="34" spans="2:7" ht="16" x14ac:dyDescent="0.2">
      <c r="B34" s="102" t="s">
        <v>402</v>
      </c>
      <c r="C34" s="102" t="s">
        <v>406</v>
      </c>
      <c r="D34" s="102" t="s">
        <v>566</v>
      </c>
      <c r="E34" s="103">
        <v>39662</v>
      </c>
      <c r="F34" s="104">
        <v>0.64236111111111105</v>
      </c>
      <c r="G34" s="98"/>
    </row>
    <row r="35" spans="2:7" ht="16" x14ac:dyDescent="0.2">
      <c r="B35" s="102" t="s">
        <v>566</v>
      </c>
      <c r="C35" s="102" t="s">
        <v>407</v>
      </c>
      <c r="D35" s="102" t="s">
        <v>402</v>
      </c>
      <c r="E35" s="103">
        <v>39662</v>
      </c>
      <c r="F35" s="104">
        <v>0.64236111111111105</v>
      </c>
      <c r="G35" s="98"/>
    </row>
    <row r="36" spans="2:7" ht="16" x14ac:dyDescent="0.2">
      <c r="B36" s="102" t="s">
        <v>566</v>
      </c>
      <c r="C36" s="102" t="s">
        <v>408</v>
      </c>
      <c r="D36" s="102" t="s">
        <v>402</v>
      </c>
      <c r="E36" s="103">
        <v>39662</v>
      </c>
      <c r="F36" s="104">
        <v>0.64236111111111105</v>
      </c>
      <c r="G36" s="98"/>
    </row>
    <row r="37" spans="2:7" ht="16" x14ac:dyDescent="0.2">
      <c r="B37" s="102" t="s">
        <v>566</v>
      </c>
      <c r="C37" s="102" t="s">
        <v>409</v>
      </c>
      <c r="D37" s="102" t="s">
        <v>402</v>
      </c>
      <c r="E37" s="103">
        <v>39662</v>
      </c>
      <c r="F37" s="104">
        <v>0.64236111111111105</v>
      </c>
      <c r="G37" s="98"/>
    </row>
    <row r="38" spans="2:7" ht="16" x14ac:dyDescent="0.2">
      <c r="B38" s="102" t="s">
        <v>566</v>
      </c>
      <c r="C38" s="102" t="s">
        <v>410</v>
      </c>
      <c r="D38" s="102" t="s">
        <v>402</v>
      </c>
      <c r="E38" s="103">
        <v>39662</v>
      </c>
      <c r="F38" s="104">
        <v>0.64236111111111105</v>
      </c>
      <c r="G38" s="98"/>
    </row>
    <row r="39" spans="2:7" ht="16" x14ac:dyDescent="0.2">
      <c r="B39" s="102" t="s">
        <v>566</v>
      </c>
      <c r="C39" s="102" t="s">
        <v>535</v>
      </c>
      <c r="D39" s="102" t="s">
        <v>402</v>
      </c>
      <c r="E39" s="103">
        <v>39662</v>
      </c>
      <c r="F39" s="104">
        <v>0.64236111111111105</v>
      </c>
      <c r="G39" s="98"/>
    </row>
    <row r="40" spans="2:7" ht="16" x14ac:dyDescent="0.2">
      <c r="B40" s="99" t="s">
        <v>411</v>
      </c>
      <c r="C40" s="99" t="s">
        <v>412</v>
      </c>
      <c r="D40" s="99" t="s">
        <v>563</v>
      </c>
      <c r="E40" s="100">
        <v>39660</v>
      </c>
      <c r="F40" s="101">
        <v>0.98263888888888895</v>
      </c>
      <c r="G40" s="98"/>
    </row>
    <row r="41" spans="2:7" ht="16" x14ac:dyDescent="0.2">
      <c r="B41" s="99" t="s">
        <v>411</v>
      </c>
      <c r="C41" s="99" t="s">
        <v>413</v>
      </c>
      <c r="D41" s="99" t="s">
        <v>563</v>
      </c>
      <c r="E41" s="100">
        <v>39660</v>
      </c>
      <c r="F41" s="101">
        <v>0.98263888888888895</v>
      </c>
      <c r="G41" s="98"/>
    </row>
    <row r="42" spans="2:7" ht="16" x14ac:dyDescent="0.2">
      <c r="B42" s="99" t="s">
        <v>563</v>
      </c>
      <c r="C42" s="99" t="s">
        <v>414</v>
      </c>
      <c r="D42" s="99" t="s">
        <v>411</v>
      </c>
      <c r="E42" s="100">
        <v>39660</v>
      </c>
      <c r="F42" s="101">
        <v>0.98263888888888895</v>
      </c>
      <c r="G42" s="98"/>
    </row>
    <row r="43" spans="2:7" ht="16" x14ac:dyDescent="0.2">
      <c r="B43" s="99" t="s">
        <v>563</v>
      </c>
      <c r="C43" s="99" t="s">
        <v>415</v>
      </c>
      <c r="D43" s="99" t="s">
        <v>411</v>
      </c>
      <c r="E43" s="100">
        <v>39660</v>
      </c>
      <c r="F43" s="101">
        <v>0.98263888888888895</v>
      </c>
      <c r="G43" s="98"/>
    </row>
    <row r="44" spans="2:7" ht="16" x14ac:dyDescent="0.2">
      <c r="B44" s="102" t="s">
        <v>416</v>
      </c>
      <c r="C44" s="102" t="s">
        <v>417</v>
      </c>
      <c r="D44" s="102" t="s">
        <v>563</v>
      </c>
      <c r="E44" s="103">
        <v>39649</v>
      </c>
      <c r="F44" s="104">
        <v>0.57986111111111105</v>
      </c>
      <c r="G44" s="98"/>
    </row>
    <row r="45" spans="2:7" ht="16" x14ac:dyDescent="0.2">
      <c r="B45" s="102" t="s">
        <v>416</v>
      </c>
      <c r="C45" s="102" t="s">
        <v>549</v>
      </c>
      <c r="D45" s="102" t="s">
        <v>563</v>
      </c>
      <c r="E45" s="103">
        <v>39649</v>
      </c>
      <c r="F45" s="104">
        <v>0.57986111111111105</v>
      </c>
      <c r="G45" s="98"/>
    </row>
    <row r="46" spans="2:7" ht="16" x14ac:dyDescent="0.2">
      <c r="B46" s="102" t="s">
        <v>416</v>
      </c>
      <c r="C46" s="102" t="s">
        <v>415</v>
      </c>
      <c r="D46" s="102" t="s">
        <v>563</v>
      </c>
      <c r="E46" s="103">
        <v>39649</v>
      </c>
      <c r="F46" s="104">
        <v>0.57986111111111105</v>
      </c>
      <c r="G46" s="98"/>
    </row>
    <row r="47" spans="2:7" ht="16" x14ac:dyDescent="0.2">
      <c r="B47" s="102" t="s">
        <v>563</v>
      </c>
      <c r="C47" s="102" t="s">
        <v>418</v>
      </c>
      <c r="D47" s="102" t="s">
        <v>416</v>
      </c>
      <c r="E47" s="103">
        <v>39649</v>
      </c>
      <c r="F47" s="104">
        <v>0.57986111111111105</v>
      </c>
      <c r="G47" s="98"/>
    </row>
    <row r="48" spans="2:7" ht="16" x14ac:dyDescent="0.2">
      <c r="B48" s="102" t="s">
        <v>563</v>
      </c>
      <c r="C48" s="102" t="s">
        <v>544</v>
      </c>
      <c r="D48" s="102" t="s">
        <v>416</v>
      </c>
      <c r="E48" s="103">
        <v>39649</v>
      </c>
      <c r="F48" s="104">
        <v>0.57986111111111105</v>
      </c>
      <c r="G48" s="98"/>
    </row>
    <row r="49" spans="2:7" ht="16" x14ac:dyDescent="0.2">
      <c r="B49" s="102" t="s">
        <v>563</v>
      </c>
      <c r="C49" s="102" t="s">
        <v>574</v>
      </c>
      <c r="D49" s="102" t="s">
        <v>416</v>
      </c>
      <c r="E49" s="103">
        <v>39649</v>
      </c>
      <c r="F49" s="104">
        <v>0.57986111111111105</v>
      </c>
      <c r="G49" s="98"/>
    </row>
    <row r="50" spans="2:7" ht="16" x14ac:dyDescent="0.2">
      <c r="B50" s="99" t="s">
        <v>419</v>
      </c>
      <c r="C50" s="99" t="s">
        <v>420</v>
      </c>
      <c r="D50" s="99" t="s">
        <v>686</v>
      </c>
      <c r="E50" s="100">
        <v>39647</v>
      </c>
      <c r="F50" s="101">
        <v>0.76388888888888895</v>
      </c>
      <c r="G50" s="98"/>
    </row>
    <row r="51" spans="2:7" ht="16" x14ac:dyDescent="0.2">
      <c r="B51" s="99" t="s">
        <v>419</v>
      </c>
      <c r="C51" s="99" t="s">
        <v>421</v>
      </c>
      <c r="D51" s="99" t="s">
        <v>686</v>
      </c>
      <c r="E51" s="100">
        <v>39647</v>
      </c>
      <c r="F51" s="101">
        <v>0.76388888888888895</v>
      </c>
      <c r="G51" s="98"/>
    </row>
    <row r="52" spans="2:7" ht="16" x14ac:dyDescent="0.2">
      <c r="B52" s="99" t="s">
        <v>686</v>
      </c>
      <c r="C52" s="99" t="s">
        <v>422</v>
      </c>
      <c r="D52" s="99" t="s">
        <v>419</v>
      </c>
      <c r="E52" s="100">
        <v>39647</v>
      </c>
      <c r="F52" s="101">
        <v>0.76388888888888895</v>
      </c>
      <c r="G52" s="98"/>
    </row>
    <row r="53" spans="2:7" ht="16" x14ac:dyDescent="0.2">
      <c r="B53" s="99" t="s">
        <v>686</v>
      </c>
      <c r="C53" s="99" t="s">
        <v>423</v>
      </c>
      <c r="D53" s="99" t="s">
        <v>419</v>
      </c>
      <c r="E53" s="100">
        <v>39647</v>
      </c>
      <c r="F53" s="101">
        <v>0.76388888888888895</v>
      </c>
      <c r="G53" s="98"/>
    </row>
    <row r="54" spans="2:7" ht="16" x14ac:dyDescent="0.2">
      <c r="B54" s="102" t="s">
        <v>566</v>
      </c>
      <c r="C54" s="102" t="s">
        <v>424</v>
      </c>
      <c r="D54" s="102" t="s">
        <v>686</v>
      </c>
      <c r="E54" s="103">
        <v>39647</v>
      </c>
      <c r="F54" s="104">
        <v>0.74305555555555503</v>
      </c>
      <c r="G54" s="98"/>
    </row>
    <row r="55" spans="2:7" ht="16" x14ac:dyDescent="0.2">
      <c r="B55" s="102" t="s">
        <v>566</v>
      </c>
      <c r="C55" s="102" t="s">
        <v>425</v>
      </c>
      <c r="D55" s="102" t="s">
        <v>686</v>
      </c>
      <c r="E55" s="103">
        <v>39647</v>
      </c>
      <c r="F55" s="104">
        <v>0.74305555555555503</v>
      </c>
      <c r="G55" s="98"/>
    </row>
    <row r="56" spans="2:7" ht="16" x14ac:dyDescent="0.2">
      <c r="B56" s="102" t="s">
        <v>566</v>
      </c>
      <c r="C56" s="102" t="s">
        <v>426</v>
      </c>
      <c r="D56" s="102" t="s">
        <v>686</v>
      </c>
      <c r="E56" s="103">
        <v>39647</v>
      </c>
      <c r="F56" s="104">
        <v>0.74305555555555503</v>
      </c>
      <c r="G56" s="98"/>
    </row>
    <row r="57" spans="2:7" ht="16" x14ac:dyDescent="0.2">
      <c r="B57" s="102" t="s">
        <v>566</v>
      </c>
      <c r="C57" s="102" t="s">
        <v>366</v>
      </c>
      <c r="D57" s="102" t="s">
        <v>686</v>
      </c>
      <c r="E57" s="103">
        <v>39647</v>
      </c>
      <c r="F57" s="104">
        <v>0.74305555555555503</v>
      </c>
      <c r="G57" s="98"/>
    </row>
    <row r="58" spans="2:7" ht="16" x14ac:dyDescent="0.2">
      <c r="B58" s="102" t="s">
        <v>686</v>
      </c>
      <c r="C58" s="102" t="s">
        <v>556</v>
      </c>
      <c r="D58" s="102" t="s">
        <v>566</v>
      </c>
      <c r="E58" s="103">
        <v>39647</v>
      </c>
      <c r="F58" s="104">
        <v>0.74305555555555503</v>
      </c>
      <c r="G58" s="98"/>
    </row>
    <row r="59" spans="2:7" ht="16" x14ac:dyDescent="0.2">
      <c r="B59" s="102" t="s">
        <v>686</v>
      </c>
      <c r="C59" s="102" t="s">
        <v>427</v>
      </c>
      <c r="D59" s="102" t="s">
        <v>566</v>
      </c>
      <c r="E59" s="103">
        <v>39647</v>
      </c>
      <c r="F59" s="104">
        <v>0.74305555555555503</v>
      </c>
      <c r="G59" s="98"/>
    </row>
    <row r="60" spans="2:7" ht="16" x14ac:dyDescent="0.2">
      <c r="B60" s="102" t="s">
        <v>686</v>
      </c>
      <c r="C60" s="102" t="s">
        <v>428</v>
      </c>
      <c r="D60" s="102" t="s">
        <v>566</v>
      </c>
      <c r="E60" s="103">
        <v>39647</v>
      </c>
      <c r="F60" s="104">
        <v>0.74305555555555503</v>
      </c>
      <c r="G60" s="98"/>
    </row>
    <row r="61" spans="2:7" ht="16" x14ac:dyDescent="0.2">
      <c r="B61" s="99" t="s">
        <v>411</v>
      </c>
      <c r="C61" s="99" t="s">
        <v>429</v>
      </c>
      <c r="D61" s="99" t="s">
        <v>419</v>
      </c>
      <c r="E61" s="100">
        <v>39640</v>
      </c>
      <c r="F61" s="101">
        <v>0.92361111111111105</v>
      </c>
      <c r="G61" s="98"/>
    </row>
    <row r="62" spans="2:7" ht="16" x14ac:dyDescent="0.2">
      <c r="B62" s="99" t="s">
        <v>411</v>
      </c>
      <c r="C62" s="99" t="s">
        <v>430</v>
      </c>
      <c r="D62" s="99" t="s">
        <v>419</v>
      </c>
      <c r="E62" s="100">
        <v>39640</v>
      </c>
      <c r="F62" s="101">
        <v>0.92361111111111105</v>
      </c>
      <c r="G62" s="98"/>
    </row>
    <row r="63" spans="2:7" ht="16" x14ac:dyDescent="0.2">
      <c r="B63" s="99" t="s">
        <v>411</v>
      </c>
      <c r="C63" s="99" t="s">
        <v>431</v>
      </c>
      <c r="D63" s="99" t="s">
        <v>419</v>
      </c>
      <c r="E63" s="100">
        <v>39640</v>
      </c>
      <c r="F63" s="101">
        <v>0.92361111111111105</v>
      </c>
      <c r="G63" s="98"/>
    </row>
    <row r="64" spans="2:7" ht="16" x14ac:dyDescent="0.2">
      <c r="B64" s="99" t="s">
        <v>419</v>
      </c>
      <c r="C64" s="99" t="s">
        <v>525</v>
      </c>
      <c r="D64" s="99" t="s">
        <v>411</v>
      </c>
      <c r="E64" s="100">
        <v>39640</v>
      </c>
      <c r="F64" s="101">
        <v>0.92361111111111105</v>
      </c>
      <c r="G64" s="98"/>
    </row>
    <row r="65" spans="2:7" ht="16" x14ac:dyDescent="0.2">
      <c r="B65" s="99" t="s">
        <v>419</v>
      </c>
      <c r="C65" s="99" t="s">
        <v>432</v>
      </c>
      <c r="D65" s="99" t="s">
        <v>411</v>
      </c>
      <c r="E65" s="100">
        <v>39640</v>
      </c>
      <c r="F65" s="101">
        <v>0.92361111111111105</v>
      </c>
      <c r="G65" s="98"/>
    </row>
    <row r="66" spans="2:7" ht="16" x14ac:dyDescent="0.2">
      <c r="B66" s="99" t="s">
        <v>419</v>
      </c>
      <c r="C66" s="99" t="s">
        <v>433</v>
      </c>
      <c r="D66" s="99" t="s">
        <v>411</v>
      </c>
      <c r="E66" s="100">
        <v>39640</v>
      </c>
      <c r="F66" s="101">
        <v>0.92361111111111105</v>
      </c>
      <c r="G66" s="98"/>
    </row>
    <row r="67" spans="2:7" ht="16" x14ac:dyDescent="0.2">
      <c r="B67" s="102" t="s">
        <v>530</v>
      </c>
      <c r="C67" s="102" t="s">
        <v>410</v>
      </c>
      <c r="D67" s="102" t="s">
        <v>566</v>
      </c>
      <c r="E67" s="103">
        <v>39613</v>
      </c>
      <c r="F67" s="104">
        <v>0.46527777777777801</v>
      </c>
      <c r="G67" s="98"/>
    </row>
    <row r="68" spans="2:7" ht="16" x14ac:dyDescent="0.2">
      <c r="B68" s="102" t="s">
        <v>530</v>
      </c>
      <c r="C68" s="102" t="s">
        <v>693</v>
      </c>
      <c r="D68" s="102" t="s">
        <v>566</v>
      </c>
      <c r="E68" s="103">
        <v>39613</v>
      </c>
      <c r="F68" s="104">
        <v>0.46527777777777801</v>
      </c>
      <c r="G68" s="98"/>
    </row>
    <row r="69" spans="2:7" ht="16" x14ac:dyDescent="0.2">
      <c r="B69" s="102" t="s">
        <v>530</v>
      </c>
      <c r="C69" s="102" t="s">
        <v>434</v>
      </c>
      <c r="D69" s="102" t="s">
        <v>566</v>
      </c>
      <c r="E69" s="103">
        <v>39613</v>
      </c>
      <c r="F69" s="104">
        <v>0.46527777777777801</v>
      </c>
      <c r="G69" s="98"/>
    </row>
    <row r="70" spans="2:7" ht="16" x14ac:dyDescent="0.2">
      <c r="B70" s="102" t="s">
        <v>530</v>
      </c>
      <c r="C70" s="102" t="s">
        <v>535</v>
      </c>
      <c r="D70" s="102" t="s">
        <v>566</v>
      </c>
      <c r="E70" s="103">
        <v>39613</v>
      </c>
      <c r="F70" s="104">
        <v>0.46527777777777801</v>
      </c>
      <c r="G70" s="98"/>
    </row>
    <row r="71" spans="2:7" ht="16" x14ac:dyDescent="0.2">
      <c r="B71" s="102" t="s">
        <v>566</v>
      </c>
      <c r="C71" s="102" t="s">
        <v>587</v>
      </c>
      <c r="D71" s="102" t="s">
        <v>530</v>
      </c>
      <c r="E71" s="103">
        <v>39613</v>
      </c>
      <c r="F71" s="104">
        <v>0.46527777777777801</v>
      </c>
      <c r="G71" s="98"/>
    </row>
    <row r="72" spans="2:7" ht="16" x14ac:dyDescent="0.2">
      <c r="B72" s="102" t="s">
        <v>566</v>
      </c>
      <c r="C72" s="102" t="s">
        <v>435</v>
      </c>
      <c r="D72" s="102" t="s">
        <v>530</v>
      </c>
      <c r="E72" s="103">
        <v>39613</v>
      </c>
      <c r="F72" s="104">
        <v>0.46527777777777801</v>
      </c>
      <c r="G72" s="98"/>
    </row>
    <row r="73" spans="2:7" ht="16" x14ac:dyDescent="0.2">
      <c r="B73" s="102" t="s">
        <v>566</v>
      </c>
      <c r="C73" s="102" t="s">
        <v>571</v>
      </c>
      <c r="D73" s="102" t="s">
        <v>530</v>
      </c>
      <c r="E73" s="103">
        <v>39613</v>
      </c>
      <c r="F73" s="104">
        <v>0.46527777777777801</v>
      </c>
      <c r="G73" s="98"/>
    </row>
    <row r="74" spans="2:7" ht="16" x14ac:dyDescent="0.2">
      <c r="B74" s="102" t="s">
        <v>566</v>
      </c>
      <c r="C74" s="102" t="s">
        <v>436</v>
      </c>
      <c r="D74" s="102" t="s">
        <v>530</v>
      </c>
      <c r="E74" s="103">
        <v>39613</v>
      </c>
      <c r="F74" s="104">
        <v>0.46527777777777801</v>
      </c>
      <c r="G74" s="98"/>
    </row>
    <row r="75" spans="2:7" ht="16" x14ac:dyDescent="0.2">
      <c r="B75" s="99" t="s">
        <v>416</v>
      </c>
      <c r="C75" s="99" t="s">
        <v>429</v>
      </c>
      <c r="D75" s="99" t="s">
        <v>411</v>
      </c>
      <c r="E75" s="100">
        <v>39594</v>
      </c>
      <c r="F75" s="101">
        <v>0.46180555555555602</v>
      </c>
      <c r="G75" s="98"/>
    </row>
    <row r="76" spans="2:7" ht="16" x14ac:dyDescent="0.2">
      <c r="B76" s="99" t="s">
        <v>411</v>
      </c>
      <c r="C76" s="99" t="s">
        <v>437</v>
      </c>
      <c r="D76" s="99" t="s">
        <v>416</v>
      </c>
      <c r="E76" s="100">
        <v>39594</v>
      </c>
      <c r="F76" s="101">
        <v>0.46180555555555602</v>
      </c>
      <c r="G76" s="98"/>
    </row>
    <row r="77" spans="2:7" ht="16" x14ac:dyDescent="0.2">
      <c r="B77" s="102" t="s">
        <v>682</v>
      </c>
      <c r="C77" s="102" t="s">
        <v>438</v>
      </c>
      <c r="D77" s="102" t="s">
        <v>554</v>
      </c>
      <c r="E77" s="103">
        <v>39593</v>
      </c>
      <c r="F77" s="104">
        <v>0.45833333333333298</v>
      </c>
      <c r="G77" s="98"/>
    </row>
    <row r="78" spans="2:7" ht="16" x14ac:dyDescent="0.2">
      <c r="B78" s="102" t="s">
        <v>682</v>
      </c>
      <c r="C78" s="102" t="s">
        <v>439</v>
      </c>
      <c r="D78" s="102" t="s">
        <v>554</v>
      </c>
      <c r="E78" s="103">
        <v>39593</v>
      </c>
      <c r="F78" s="104">
        <v>0.45833333333333298</v>
      </c>
      <c r="G78" s="98"/>
    </row>
    <row r="79" spans="2:7" ht="16" x14ac:dyDescent="0.2">
      <c r="B79" s="102" t="s">
        <v>682</v>
      </c>
      <c r="C79" s="102" t="s">
        <v>440</v>
      </c>
      <c r="D79" s="102" t="s">
        <v>554</v>
      </c>
      <c r="E79" s="103">
        <v>39593</v>
      </c>
      <c r="F79" s="104">
        <v>0.45833333333333298</v>
      </c>
      <c r="G79" s="98"/>
    </row>
    <row r="80" spans="2:7" ht="16" x14ac:dyDescent="0.2">
      <c r="B80" s="102" t="s">
        <v>682</v>
      </c>
      <c r="C80" s="102" t="s">
        <v>516</v>
      </c>
      <c r="D80" s="102" t="s">
        <v>554</v>
      </c>
      <c r="E80" s="103">
        <v>39593</v>
      </c>
      <c r="F80" s="104">
        <v>0.45833333333333298</v>
      </c>
      <c r="G80" s="98"/>
    </row>
    <row r="81" spans="2:7" ht="16" x14ac:dyDescent="0.2">
      <c r="B81" s="102" t="s">
        <v>554</v>
      </c>
      <c r="C81" s="102" t="s">
        <v>441</v>
      </c>
      <c r="D81" s="102" t="s">
        <v>682</v>
      </c>
      <c r="E81" s="103">
        <v>39593</v>
      </c>
      <c r="F81" s="104">
        <v>0.45833333333333298</v>
      </c>
      <c r="G81" s="98"/>
    </row>
    <row r="82" spans="2:7" ht="16" x14ac:dyDescent="0.2">
      <c r="B82" s="102" t="s">
        <v>554</v>
      </c>
      <c r="C82" s="102" t="s">
        <v>553</v>
      </c>
      <c r="D82" s="102" t="s">
        <v>682</v>
      </c>
      <c r="E82" s="103">
        <v>39593</v>
      </c>
      <c r="F82" s="104">
        <v>0.45833333333333298</v>
      </c>
      <c r="G82" s="98"/>
    </row>
    <row r="83" spans="2:7" ht="16" x14ac:dyDescent="0.2">
      <c r="B83" s="102" t="s">
        <v>554</v>
      </c>
      <c r="C83" s="102" t="s">
        <v>442</v>
      </c>
      <c r="D83" s="102" t="s">
        <v>682</v>
      </c>
      <c r="E83" s="103">
        <v>39593</v>
      </c>
      <c r="F83" s="104">
        <v>0.45833333333333298</v>
      </c>
      <c r="G83" s="98"/>
    </row>
    <row r="84" spans="2:7" ht="16" x14ac:dyDescent="0.2">
      <c r="B84" s="102" t="s">
        <v>554</v>
      </c>
      <c r="C84" s="102" t="s">
        <v>443</v>
      </c>
      <c r="D84" s="102" t="s">
        <v>682</v>
      </c>
      <c r="E84" s="103">
        <v>39593</v>
      </c>
      <c r="F84" s="104">
        <v>0.45833333333333298</v>
      </c>
      <c r="G84" s="98"/>
    </row>
    <row r="85" spans="2:7" ht="16" x14ac:dyDescent="0.2">
      <c r="B85" s="99" t="s">
        <v>566</v>
      </c>
      <c r="C85" s="99" t="s">
        <v>575</v>
      </c>
      <c r="D85" s="99" t="s">
        <v>411</v>
      </c>
      <c r="E85" s="100">
        <v>39569</v>
      </c>
      <c r="F85" s="101">
        <v>0.86805555555555503</v>
      </c>
      <c r="G85" s="98"/>
    </row>
    <row r="86" spans="2:7" ht="16" x14ac:dyDescent="0.2">
      <c r="B86" s="99" t="s">
        <v>411</v>
      </c>
      <c r="C86" s="99" t="s">
        <v>444</v>
      </c>
      <c r="D86" s="99" t="s">
        <v>566</v>
      </c>
      <c r="E86" s="100">
        <v>39569</v>
      </c>
      <c r="F86" s="101">
        <v>0.86805555555555503</v>
      </c>
      <c r="G86" s="98"/>
    </row>
  </sheetData>
  <phoneticPr fontId="16" type="noConversion"/>
  <pageMargins left="0.7" right="0.7" top="0.75" bottom="0.75" header="0.3" footer="0.3"/>
  <pageSetup paperSize="5"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123"/>
  <sheetViews>
    <sheetView workbookViewId="0">
      <selection activeCell="J58" sqref="J58"/>
    </sheetView>
  </sheetViews>
  <sheetFormatPr baseColWidth="10" defaultColWidth="8.6640625" defaultRowHeight="13" x14ac:dyDescent="0.15"/>
  <cols>
    <col min="1" max="1" width="5.83203125" bestFit="1" customWidth="1"/>
    <col min="2" max="2" width="20" bestFit="1" customWidth="1"/>
    <col min="3" max="3" width="7" bestFit="1" customWidth="1"/>
    <col min="4" max="4" width="13.5" customWidth="1"/>
    <col min="5" max="5" width="5.6640625" bestFit="1" customWidth="1"/>
    <col min="6" max="6" width="5.33203125" bestFit="1" customWidth="1"/>
    <col min="7" max="7" width="4.6640625" bestFit="1" customWidth="1"/>
    <col min="8" max="10" width="4.5" bestFit="1" customWidth="1"/>
    <col min="11" max="11" width="6.1640625" bestFit="1" customWidth="1"/>
    <col min="12" max="12" width="5.33203125" bestFit="1" customWidth="1"/>
    <col min="13" max="13" width="5.6640625" bestFit="1" customWidth="1"/>
    <col min="14" max="15" width="4.5" bestFit="1" customWidth="1"/>
    <col min="16" max="16" width="4.33203125" customWidth="1"/>
    <col min="17" max="17" width="5.6640625" bestFit="1" customWidth="1"/>
    <col min="18" max="18" width="4.5" bestFit="1" customWidth="1"/>
    <col min="19" max="20" width="4.83203125" bestFit="1" customWidth="1"/>
  </cols>
  <sheetData>
    <row r="1" spans="1:20" ht="14" thickBot="1" x14ac:dyDescent="0.2"/>
    <row r="2" spans="1:20" ht="16" thickBot="1" x14ac:dyDescent="0.25">
      <c r="A2" s="29"/>
      <c r="B2" s="30"/>
      <c r="C2" s="31"/>
      <c r="D2" s="30"/>
      <c r="E2" s="139" t="s">
        <v>657</v>
      </c>
      <c r="F2" s="139"/>
      <c r="G2" s="31"/>
      <c r="H2" s="140" t="s">
        <v>658</v>
      </c>
      <c r="I2" s="139"/>
      <c r="J2" s="30"/>
      <c r="K2" s="30"/>
      <c r="L2" s="30"/>
      <c r="M2" s="31"/>
      <c r="N2" s="32"/>
      <c r="O2" s="32"/>
      <c r="P2" s="32"/>
      <c r="Q2" s="32"/>
      <c r="R2" s="32"/>
      <c r="S2" s="32"/>
      <c r="T2" s="32"/>
    </row>
    <row r="3" spans="1:20" ht="16" thickBot="1" x14ac:dyDescent="0.25">
      <c r="A3" s="33" t="s">
        <v>659</v>
      </c>
      <c r="B3" s="34" t="s">
        <v>650</v>
      </c>
      <c r="C3" s="35" t="s">
        <v>651</v>
      </c>
      <c r="D3" s="34" t="s">
        <v>660</v>
      </c>
      <c r="E3" s="34" t="s">
        <v>661</v>
      </c>
      <c r="F3" s="34" t="s">
        <v>662</v>
      </c>
      <c r="G3" s="35" t="s">
        <v>663</v>
      </c>
      <c r="H3" s="36" t="s">
        <v>660</v>
      </c>
      <c r="I3" s="36" t="s">
        <v>664</v>
      </c>
      <c r="J3" s="34" t="s">
        <v>665</v>
      </c>
      <c r="K3" s="34" t="s">
        <v>666</v>
      </c>
      <c r="L3" s="34" t="s">
        <v>662</v>
      </c>
      <c r="M3" s="35" t="s">
        <v>663</v>
      </c>
      <c r="N3" s="37"/>
      <c r="O3" s="37"/>
      <c r="P3" s="37"/>
      <c r="Q3" s="37"/>
      <c r="R3" s="37"/>
      <c r="S3" s="37"/>
      <c r="T3" s="37"/>
    </row>
    <row r="4" spans="1:20" ht="15" x14ac:dyDescent="0.2">
      <c r="A4" s="38">
        <v>1</v>
      </c>
      <c r="B4" s="39" t="s">
        <v>667</v>
      </c>
      <c r="C4" s="39">
        <v>8751</v>
      </c>
      <c r="D4" s="39">
        <v>1620</v>
      </c>
      <c r="E4" s="40">
        <v>6037</v>
      </c>
      <c r="F4" s="39">
        <v>4715</v>
      </c>
      <c r="G4" s="39">
        <v>2.9</v>
      </c>
      <c r="H4" s="39">
        <v>302</v>
      </c>
      <c r="I4" s="39">
        <v>162</v>
      </c>
      <c r="J4" s="39">
        <v>140</v>
      </c>
      <c r="K4" s="41">
        <v>1165.0999999999999</v>
      </c>
      <c r="L4" s="30">
        <v>4036</v>
      </c>
      <c r="M4" s="31">
        <v>13.4</v>
      </c>
      <c r="N4" s="32"/>
      <c r="O4" s="32"/>
      <c r="P4" s="32"/>
      <c r="Q4" s="32"/>
      <c r="R4" s="32"/>
      <c r="S4" s="32"/>
      <c r="T4" s="32"/>
    </row>
    <row r="5" spans="1:20" ht="15" x14ac:dyDescent="0.2">
      <c r="A5" s="42">
        <v>2</v>
      </c>
      <c r="B5" s="43" t="s">
        <v>668</v>
      </c>
      <c r="C5" s="43">
        <v>8344</v>
      </c>
      <c r="D5" s="43">
        <v>1620</v>
      </c>
      <c r="E5" s="44">
        <v>6036</v>
      </c>
      <c r="F5" s="43">
        <v>4352</v>
      </c>
      <c r="G5" s="43">
        <v>2.7</v>
      </c>
      <c r="H5" s="43">
        <v>302</v>
      </c>
      <c r="I5" s="43">
        <v>162</v>
      </c>
      <c r="J5" s="43">
        <v>140</v>
      </c>
      <c r="K5" s="45">
        <v>1210</v>
      </c>
      <c r="L5" s="46">
        <v>3992</v>
      </c>
      <c r="M5" s="47">
        <v>13.2</v>
      </c>
      <c r="N5" s="32"/>
      <c r="O5" s="32"/>
      <c r="P5" s="32"/>
      <c r="Q5" s="32"/>
      <c r="R5" s="32"/>
      <c r="S5" s="32"/>
      <c r="T5" s="32"/>
    </row>
    <row r="6" spans="1:20" ht="15" x14ac:dyDescent="0.2">
      <c r="A6" s="38">
        <v>3</v>
      </c>
      <c r="B6" s="39" t="s">
        <v>669</v>
      </c>
      <c r="C6" s="39">
        <v>8225</v>
      </c>
      <c r="D6" s="39">
        <v>1606</v>
      </c>
      <c r="E6" s="40">
        <v>5944</v>
      </c>
      <c r="F6" s="39">
        <v>4544</v>
      </c>
      <c r="G6" s="39">
        <v>2.8</v>
      </c>
      <c r="H6" s="39">
        <v>302</v>
      </c>
      <c r="I6" s="39">
        <v>162</v>
      </c>
      <c r="J6" s="39">
        <v>140</v>
      </c>
      <c r="K6" s="41">
        <v>1142.2</v>
      </c>
      <c r="L6" s="48">
        <v>3681</v>
      </c>
      <c r="M6" s="49">
        <v>12.2</v>
      </c>
      <c r="N6" s="32"/>
      <c r="O6" s="32"/>
      <c r="P6" s="32"/>
      <c r="Q6" s="32"/>
      <c r="R6" s="32"/>
      <c r="S6" s="32"/>
      <c r="T6" s="32"/>
    </row>
    <row r="7" spans="1:20" ht="15" x14ac:dyDescent="0.2">
      <c r="A7" s="42">
        <v>4</v>
      </c>
      <c r="B7" s="43" t="s">
        <v>639</v>
      </c>
      <c r="C7" s="43">
        <v>8167</v>
      </c>
      <c r="D7" s="43">
        <v>1620</v>
      </c>
      <c r="E7" s="44">
        <v>6279</v>
      </c>
      <c r="F7" s="43">
        <v>4677</v>
      </c>
      <c r="G7" s="43">
        <v>2.9</v>
      </c>
      <c r="H7" s="43">
        <v>302</v>
      </c>
      <c r="I7" s="43">
        <v>162</v>
      </c>
      <c r="J7" s="43">
        <v>140</v>
      </c>
      <c r="K7" s="45">
        <v>1146.2</v>
      </c>
      <c r="L7" s="46">
        <v>3490</v>
      </c>
      <c r="M7" s="47">
        <v>11.6</v>
      </c>
      <c r="N7" s="32"/>
      <c r="O7" s="32"/>
      <c r="P7" s="32"/>
      <c r="Q7" s="32"/>
      <c r="R7" s="32"/>
      <c r="S7" s="32"/>
      <c r="T7" s="32"/>
    </row>
    <row r="8" spans="1:20" ht="15" x14ac:dyDescent="0.2">
      <c r="A8" s="38">
        <v>5</v>
      </c>
      <c r="B8" s="39" t="s">
        <v>670</v>
      </c>
      <c r="C8" s="39">
        <v>8018</v>
      </c>
      <c r="D8" s="39">
        <v>1610</v>
      </c>
      <c r="E8" s="40">
        <v>6136</v>
      </c>
      <c r="F8" s="39">
        <v>4260</v>
      </c>
      <c r="G8" s="39">
        <v>2.6</v>
      </c>
      <c r="H8" s="39">
        <v>302</v>
      </c>
      <c r="I8" s="39">
        <v>162</v>
      </c>
      <c r="J8" s="39">
        <v>140</v>
      </c>
      <c r="K8" s="41">
        <v>1185.0999999999999</v>
      </c>
      <c r="L8" s="48">
        <v>3758</v>
      </c>
      <c r="M8" s="49">
        <v>12.4</v>
      </c>
      <c r="N8" s="32"/>
      <c r="O8" s="32"/>
      <c r="P8" s="32"/>
      <c r="Q8" s="32"/>
      <c r="R8" s="32"/>
      <c r="S8" s="32"/>
      <c r="T8" s="32"/>
    </row>
    <row r="9" spans="1:20" ht="15" x14ac:dyDescent="0.2">
      <c r="A9" s="42">
        <v>6</v>
      </c>
      <c r="B9" s="43" t="s">
        <v>645</v>
      </c>
      <c r="C9" s="43">
        <v>7760</v>
      </c>
      <c r="D9" s="43">
        <v>1610</v>
      </c>
      <c r="E9" s="44">
        <v>5950</v>
      </c>
      <c r="F9" s="43">
        <v>4475</v>
      </c>
      <c r="G9" s="43">
        <v>2.8</v>
      </c>
      <c r="H9" s="43">
        <v>302</v>
      </c>
      <c r="I9" s="43">
        <v>162</v>
      </c>
      <c r="J9" s="43">
        <v>140</v>
      </c>
      <c r="K9" s="45">
        <v>1126.0999999999999</v>
      </c>
      <c r="L9" s="46">
        <v>3285</v>
      </c>
      <c r="M9" s="47">
        <v>10.9</v>
      </c>
      <c r="N9" s="32"/>
      <c r="O9" s="32"/>
      <c r="P9" s="32"/>
      <c r="Q9" s="32"/>
      <c r="R9" s="32"/>
      <c r="S9" s="32"/>
      <c r="T9" s="32"/>
    </row>
    <row r="10" spans="1:20" ht="15" x14ac:dyDescent="0.2">
      <c r="A10" s="38">
        <v>7</v>
      </c>
      <c r="B10" s="39" t="s">
        <v>464</v>
      </c>
      <c r="C10" s="39">
        <v>7506</v>
      </c>
      <c r="D10" s="39">
        <v>1565</v>
      </c>
      <c r="E10" s="40">
        <v>5933</v>
      </c>
      <c r="F10" s="39">
        <v>3957</v>
      </c>
      <c r="G10" s="39">
        <v>2.5</v>
      </c>
      <c r="H10" s="39">
        <v>293</v>
      </c>
      <c r="I10" s="39">
        <v>161</v>
      </c>
      <c r="J10" s="39">
        <v>132</v>
      </c>
      <c r="K10" s="41">
        <v>1147.2</v>
      </c>
      <c r="L10" s="48">
        <v>3549</v>
      </c>
      <c r="M10" s="49">
        <v>12.1</v>
      </c>
      <c r="N10" s="32"/>
      <c r="O10" s="32"/>
      <c r="P10" s="32"/>
      <c r="Q10" s="32"/>
      <c r="R10" s="32"/>
      <c r="S10" s="32"/>
      <c r="T10" s="32"/>
    </row>
    <row r="11" spans="1:20" ht="15" x14ac:dyDescent="0.2">
      <c r="A11" s="42">
        <v>8</v>
      </c>
      <c r="B11" s="43" t="s">
        <v>465</v>
      </c>
      <c r="C11" s="43">
        <v>7470</v>
      </c>
      <c r="D11" s="43">
        <v>1620</v>
      </c>
      <c r="E11" s="44">
        <v>6042</v>
      </c>
      <c r="F11" s="43">
        <v>4626</v>
      </c>
      <c r="G11" s="43">
        <v>2.9</v>
      </c>
      <c r="H11" s="43">
        <v>301</v>
      </c>
      <c r="I11" s="43">
        <v>161</v>
      </c>
      <c r="J11" s="43">
        <v>140</v>
      </c>
      <c r="K11" s="45">
        <v>1087</v>
      </c>
      <c r="L11" s="46">
        <v>2844</v>
      </c>
      <c r="M11" s="47">
        <v>9.4</v>
      </c>
      <c r="N11" s="32"/>
      <c r="O11" s="32"/>
      <c r="P11" s="32"/>
      <c r="Q11" s="32"/>
      <c r="R11" s="32"/>
      <c r="S11" s="32"/>
      <c r="T11" s="32"/>
    </row>
    <row r="12" spans="1:20" ht="15" x14ac:dyDescent="0.2">
      <c r="A12" s="38">
        <v>9</v>
      </c>
      <c r="B12" s="39" t="s">
        <v>648</v>
      </c>
      <c r="C12" s="39">
        <v>7352</v>
      </c>
      <c r="D12" s="39">
        <v>1459</v>
      </c>
      <c r="E12" s="40">
        <v>5443</v>
      </c>
      <c r="F12" s="39">
        <v>3745</v>
      </c>
      <c r="G12" s="39">
        <v>2.6</v>
      </c>
      <c r="H12" s="39">
        <v>295</v>
      </c>
      <c r="I12" s="39">
        <v>156</v>
      </c>
      <c r="J12" s="39">
        <v>139</v>
      </c>
      <c r="K12" s="41">
        <v>1111.0999999999999</v>
      </c>
      <c r="L12" s="48">
        <v>3607</v>
      </c>
      <c r="M12" s="49">
        <v>12.2</v>
      </c>
      <c r="N12" s="32"/>
      <c r="O12" s="32"/>
      <c r="P12" s="32"/>
      <c r="Q12" s="32"/>
      <c r="R12" s="32"/>
      <c r="S12" s="32"/>
      <c r="T12" s="32"/>
    </row>
    <row r="13" spans="1:20" ht="15" x14ac:dyDescent="0.2">
      <c r="A13" s="42">
        <v>10</v>
      </c>
      <c r="B13" s="43" t="s">
        <v>466</v>
      </c>
      <c r="C13" s="43">
        <v>7279</v>
      </c>
      <c r="D13" s="43">
        <v>1593</v>
      </c>
      <c r="E13" s="44">
        <v>5932</v>
      </c>
      <c r="F13" s="43">
        <v>4087</v>
      </c>
      <c r="G13" s="43">
        <v>2.6</v>
      </c>
      <c r="H13" s="43">
        <v>299</v>
      </c>
      <c r="I13" s="43">
        <v>159</v>
      </c>
      <c r="J13" s="43">
        <v>140</v>
      </c>
      <c r="K13" s="45">
        <v>1137.2</v>
      </c>
      <c r="L13" s="46">
        <v>3192</v>
      </c>
      <c r="M13" s="47">
        <v>10.7</v>
      </c>
      <c r="N13" s="32"/>
      <c r="O13" s="32"/>
      <c r="P13" s="32"/>
      <c r="Q13" s="32"/>
      <c r="R13" s="32"/>
      <c r="S13" s="32"/>
      <c r="T13" s="32"/>
    </row>
    <row r="14" spans="1:20" ht="15" x14ac:dyDescent="0.2">
      <c r="A14" s="38">
        <v>11</v>
      </c>
      <c r="B14" s="39" t="s">
        <v>647</v>
      </c>
      <c r="C14" s="39">
        <v>6910</v>
      </c>
      <c r="D14" s="39">
        <v>1582</v>
      </c>
      <c r="E14" s="40">
        <v>5842</v>
      </c>
      <c r="F14" s="39">
        <v>3928</v>
      </c>
      <c r="G14" s="39">
        <v>2.5</v>
      </c>
      <c r="H14" s="39">
        <v>296</v>
      </c>
      <c r="I14" s="39">
        <v>156</v>
      </c>
      <c r="J14" s="39">
        <v>140</v>
      </c>
      <c r="K14" s="41">
        <v>1058</v>
      </c>
      <c r="L14" s="48">
        <v>2982</v>
      </c>
      <c r="M14" s="49">
        <v>10.1</v>
      </c>
      <c r="N14" s="32"/>
      <c r="O14" s="32"/>
      <c r="P14" s="32"/>
      <c r="Q14" s="32"/>
      <c r="R14" s="32"/>
      <c r="S14" s="32"/>
      <c r="T14" s="32"/>
    </row>
    <row r="15" spans="1:20" ht="16" thickBot="1" x14ac:dyDescent="0.25">
      <c r="A15" s="50">
        <v>12</v>
      </c>
      <c r="B15" s="51" t="s">
        <v>649</v>
      </c>
      <c r="C15" s="51">
        <v>6860</v>
      </c>
      <c r="D15" s="51">
        <v>1551</v>
      </c>
      <c r="E15" s="52">
        <v>5692</v>
      </c>
      <c r="F15" s="51">
        <v>3920</v>
      </c>
      <c r="G15" s="51">
        <v>2.5</v>
      </c>
      <c r="H15" s="51">
        <v>283</v>
      </c>
      <c r="I15" s="51">
        <v>143</v>
      </c>
      <c r="J15" s="51">
        <v>140</v>
      </c>
      <c r="K15" s="51">
        <v>1016.2</v>
      </c>
      <c r="L15" s="53">
        <v>2940</v>
      </c>
      <c r="M15" s="54">
        <v>10.4</v>
      </c>
      <c r="N15" s="32"/>
      <c r="O15" s="32"/>
      <c r="P15" s="32"/>
      <c r="Q15" s="32"/>
      <c r="R15" s="32"/>
      <c r="S15" s="32"/>
      <c r="T15" s="32"/>
    </row>
    <row r="16" spans="1:20" ht="15" x14ac:dyDescent="0.2">
      <c r="A16" s="32"/>
      <c r="B16" s="32"/>
      <c r="C16" s="32"/>
      <c r="D16" s="32"/>
      <c r="E16" s="32"/>
      <c r="F16" s="32"/>
      <c r="G16" s="32"/>
      <c r="H16" s="32"/>
      <c r="I16" s="32"/>
      <c r="J16" s="32"/>
      <c r="K16" s="32"/>
      <c r="L16" s="32"/>
      <c r="M16" s="32"/>
      <c r="N16" s="32"/>
      <c r="O16" s="32"/>
      <c r="P16" s="32"/>
      <c r="Q16" s="32"/>
      <c r="R16" s="32"/>
      <c r="S16" s="32"/>
      <c r="T16" s="32"/>
    </row>
    <row r="17" spans="1:20" ht="16" thickBot="1" x14ac:dyDescent="0.25">
      <c r="A17" s="32"/>
      <c r="B17" s="39"/>
      <c r="C17" s="32"/>
      <c r="D17" s="32"/>
      <c r="E17" s="32"/>
      <c r="F17" s="32"/>
      <c r="G17" s="32"/>
      <c r="H17" s="32"/>
      <c r="I17" s="32"/>
      <c r="J17" s="32"/>
      <c r="K17" s="32"/>
      <c r="L17" s="32"/>
      <c r="M17" s="32"/>
      <c r="N17" s="32"/>
      <c r="O17" s="32"/>
      <c r="P17" s="32"/>
      <c r="Q17" s="32"/>
      <c r="R17" s="32"/>
      <c r="S17" s="32"/>
      <c r="T17" s="32"/>
    </row>
    <row r="18" spans="1:20" ht="16" thickBot="1" x14ac:dyDescent="0.25">
      <c r="A18" s="33" t="s">
        <v>467</v>
      </c>
      <c r="B18" s="34" t="s">
        <v>468</v>
      </c>
      <c r="C18" s="34" t="s">
        <v>469</v>
      </c>
      <c r="D18" s="34" t="s">
        <v>470</v>
      </c>
      <c r="E18" s="34" t="s">
        <v>471</v>
      </c>
      <c r="F18" s="34" t="s">
        <v>472</v>
      </c>
      <c r="G18" s="34" t="s">
        <v>473</v>
      </c>
      <c r="H18" s="34" t="s">
        <v>474</v>
      </c>
      <c r="I18" s="34" t="s">
        <v>475</v>
      </c>
      <c r="J18" s="34" t="s">
        <v>476</v>
      </c>
      <c r="K18" s="34" t="s">
        <v>477</v>
      </c>
      <c r="L18" s="34" t="s">
        <v>478</v>
      </c>
      <c r="M18" s="34" t="s">
        <v>479</v>
      </c>
      <c r="N18" s="34" t="s">
        <v>480</v>
      </c>
      <c r="O18" s="34" t="s">
        <v>481</v>
      </c>
      <c r="P18" s="34" t="s">
        <v>482</v>
      </c>
      <c r="Q18" s="34" t="s">
        <v>663</v>
      </c>
      <c r="R18" s="34" t="s">
        <v>662</v>
      </c>
      <c r="S18" s="55" t="s">
        <v>483</v>
      </c>
      <c r="T18" s="56" t="s">
        <v>484</v>
      </c>
    </row>
    <row r="19" spans="1:20" ht="15" x14ac:dyDescent="0.2">
      <c r="A19" s="38">
        <v>1</v>
      </c>
      <c r="B19" s="39" t="s">
        <v>485</v>
      </c>
      <c r="C19" s="32">
        <v>1620</v>
      </c>
      <c r="D19" s="32">
        <v>6037</v>
      </c>
      <c r="E19" s="57">
        <v>0.28399999999999997</v>
      </c>
      <c r="F19" s="57">
        <f>(G19+L19)/(D19+L19)</f>
        <v>0.3609344965252107</v>
      </c>
      <c r="G19" s="58">
        <v>1715</v>
      </c>
      <c r="H19" s="32">
        <v>357</v>
      </c>
      <c r="I19" s="32">
        <v>18</v>
      </c>
      <c r="J19" s="32">
        <v>265</v>
      </c>
      <c r="K19" s="32">
        <v>978</v>
      </c>
      <c r="L19" s="32">
        <v>726</v>
      </c>
      <c r="M19" s="32">
        <v>953</v>
      </c>
      <c r="N19" s="32">
        <v>125</v>
      </c>
      <c r="O19" s="32">
        <v>1080</v>
      </c>
      <c r="P19" s="32">
        <v>102</v>
      </c>
      <c r="Q19" s="59">
        <v>2.91</v>
      </c>
      <c r="R19" s="58">
        <v>4715</v>
      </c>
      <c r="S19" s="57">
        <f>((G19-(H19+I19+J19)+(H19*2)+(I19*3)+(J19*4))/D19)</f>
        <v>0.48086798078515819</v>
      </c>
      <c r="T19" s="60">
        <f>SUM(S19,F19)</f>
        <v>0.84180247731036895</v>
      </c>
    </row>
    <row r="20" spans="1:20" ht="15" x14ac:dyDescent="0.2">
      <c r="A20" s="42">
        <v>2</v>
      </c>
      <c r="B20" s="43" t="s">
        <v>668</v>
      </c>
      <c r="C20" s="61">
        <v>1620</v>
      </c>
      <c r="D20" s="61">
        <v>6036</v>
      </c>
      <c r="E20" s="62">
        <v>0.27500000000000002</v>
      </c>
      <c r="F20" s="63">
        <f t="shared" ref="F20:F30" si="0">(G20+L20)/(D20+L20)</f>
        <v>0.35165975103734443</v>
      </c>
      <c r="G20" s="64">
        <v>1661</v>
      </c>
      <c r="H20" s="61">
        <v>325</v>
      </c>
      <c r="I20" s="61">
        <v>44</v>
      </c>
      <c r="J20" s="61">
        <v>246</v>
      </c>
      <c r="K20" s="61">
        <v>899</v>
      </c>
      <c r="L20" s="61">
        <v>712</v>
      </c>
      <c r="M20" s="61">
        <v>917</v>
      </c>
      <c r="N20" s="61">
        <v>128</v>
      </c>
      <c r="O20" s="61">
        <v>1247</v>
      </c>
      <c r="P20" s="61">
        <v>111</v>
      </c>
      <c r="Q20" s="65">
        <v>2.69</v>
      </c>
      <c r="R20" s="64">
        <v>4352</v>
      </c>
      <c r="S20" s="63">
        <f t="shared" ref="S20:S30" si="1">((G20-(H20+I20+J20)+(H20*2)+(I20*3)+(J20*4))/D20)</f>
        <v>0.46587143803843606</v>
      </c>
      <c r="T20" s="66">
        <f t="shared" ref="T20:T30" si="2">SUM(S20,F20)</f>
        <v>0.81753118907578048</v>
      </c>
    </row>
    <row r="21" spans="1:20" ht="15" x14ac:dyDescent="0.2">
      <c r="A21" s="38">
        <v>3</v>
      </c>
      <c r="B21" s="39" t="s">
        <v>669</v>
      </c>
      <c r="C21" s="32">
        <v>1606</v>
      </c>
      <c r="D21" s="32">
        <v>5944</v>
      </c>
      <c r="E21" s="57">
        <v>0.28000000000000003</v>
      </c>
      <c r="F21" s="57">
        <f t="shared" si="0"/>
        <v>0.36109867144349905</v>
      </c>
      <c r="G21" s="58">
        <v>1664</v>
      </c>
      <c r="H21" s="32">
        <v>339</v>
      </c>
      <c r="I21" s="32">
        <v>28</v>
      </c>
      <c r="J21" s="32">
        <v>252</v>
      </c>
      <c r="K21" s="32">
        <v>962</v>
      </c>
      <c r="L21" s="32">
        <v>755</v>
      </c>
      <c r="M21" s="32">
        <v>932</v>
      </c>
      <c r="N21" s="32">
        <v>96</v>
      </c>
      <c r="O21" s="32">
        <v>1127</v>
      </c>
      <c r="P21" s="32">
        <v>89</v>
      </c>
      <c r="Q21" s="59">
        <v>2.83</v>
      </c>
      <c r="R21" s="58">
        <v>4544</v>
      </c>
      <c r="S21" s="57">
        <f t="shared" si="1"/>
        <v>0.47358681022880217</v>
      </c>
      <c r="T21" s="60">
        <f t="shared" si="2"/>
        <v>0.83468548167230128</v>
      </c>
    </row>
    <row r="22" spans="1:20" ht="15" x14ac:dyDescent="0.2">
      <c r="A22" s="42">
        <v>4</v>
      </c>
      <c r="B22" s="43" t="s">
        <v>639</v>
      </c>
      <c r="C22" s="61">
        <v>1620</v>
      </c>
      <c r="D22" s="61">
        <v>6279</v>
      </c>
      <c r="E22" s="62">
        <v>0.29299999999999998</v>
      </c>
      <c r="F22" s="63">
        <f t="shared" si="0"/>
        <v>0.35721522651613835</v>
      </c>
      <c r="G22" s="64">
        <v>1838</v>
      </c>
      <c r="H22" s="61">
        <v>391</v>
      </c>
      <c r="I22" s="61">
        <v>44</v>
      </c>
      <c r="J22" s="61">
        <v>210</v>
      </c>
      <c r="K22" s="61">
        <v>889</v>
      </c>
      <c r="L22" s="61">
        <v>630</v>
      </c>
      <c r="M22" s="61">
        <v>974</v>
      </c>
      <c r="N22" s="61">
        <v>131</v>
      </c>
      <c r="O22" s="61">
        <v>1010</v>
      </c>
      <c r="P22" s="61">
        <v>97</v>
      </c>
      <c r="Q22" s="65">
        <v>2.89</v>
      </c>
      <c r="R22" s="64">
        <v>4677</v>
      </c>
      <c r="S22" s="63">
        <f t="shared" si="1"/>
        <v>0.46934225195094759</v>
      </c>
      <c r="T22" s="66">
        <f t="shared" si="2"/>
        <v>0.82655747846708594</v>
      </c>
    </row>
    <row r="23" spans="1:20" ht="15" x14ac:dyDescent="0.2">
      <c r="A23" s="38">
        <v>5</v>
      </c>
      <c r="B23" s="39" t="s">
        <v>670</v>
      </c>
      <c r="C23" s="32">
        <v>1610</v>
      </c>
      <c r="D23" s="32">
        <v>6136</v>
      </c>
      <c r="E23" s="57">
        <v>0.27700000000000002</v>
      </c>
      <c r="F23" s="57">
        <f t="shared" si="0"/>
        <v>0.34101040118870729</v>
      </c>
      <c r="G23" s="58">
        <v>1701</v>
      </c>
      <c r="H23" s="32">
        <v>332</v>
      </c>
      <c r="I23" s="32">
        <v>31</v>
      </c>
      <c r="J23" s="32">
        <v>198</v>
      </c>
      <c r="K23" s="32">
        <v>816</v>
      </c>
      <c r="L23" s="32">
        <v>594</v>
      </c>
      <c r="M23" s="32">
        <v>897</v>
      </c>
      <c r="N23" s="32">
        <v>209</v>
      </c>
      <c r="O23" s="32">
        <v>1148</v>
      </c>
      <c r="P23" s="32">
        <v>97</v>
      </c>
      <c r="Q23" s="59">
        <v>2.65</v>
      </c>
      <c r="R23" s="58">
        <v>4260</v>
      </c>
      <c r="S23" s="57">
        <f t="shared" si="1"/>
        <v>0.4382333767926988</v>
      </c>
      <c r="T23" s="60">
        <f t="shared" si="2"/>
        <v>0.77924377798140609</v>
      </c>
    </row>
    <row r="24" spans="1:20" ht="15" x14ac:dyDescent="0.2">
      <c r="A24" s="42">
        <v>6</v>
      </c>
      <c r="B24" s="43" t="s">
        <v>645</v>
      </c>
      <c r="C24" s="61">
        <v>1610</v>
      </c>
      <c r="D24" s="61">
        <v>5950</v>
      </c>
      <c r="E24" s="62">
        <v>0.28499999999999998</v>
      </c>
      <c r="F24" s="63">
        <f t="shared" si="0"/>
        <v>0.36086499474395556</v>
      </c>
      <c r="G24" s="64">
        <v>1694</v>
      </c>
      <c r="H24" s="61">
        <v>345</v>
      </c>
      <c r="I24" s="61">
        <v>26</v>
      </c>
      <c r="J24" s="61">
        <v>241</v>
      </c>
      <c r="K24" s="61">
        <v>867</v>
      </c>
      <c r="L24" s="61">
        <v>709</v>
      </c>
      <c r="M24" s="61">
        <v>899</v>
      </c>
      <c r="N24" s="61">
        <v>140</v>
      </c>
      <c r="O24" s="61">
        <v>1119</v>
      </c>
      <c r="P24" s="61">
        <v>90</v>
      </c>
      <c r="Q24" s="65">
        <v>2.78</v>
      </c>
      <c r="R24" s="64">
        <v>4475</v>
      </c>
      <c r="S24" s="63">
        <f t="shared" si="1"/>
        <v>0.47294117647058825</v>
      </c>
      <c r="T24" s="66">
        <f t="shared" si="2"/>
        <v>0.83380617121454381</v>
      </c>
    </row>
    <row r="25" spans="1:20" ht="15" x14ac:dyDescent="0.2">
      <c r="A25" s="38">
        <v>7</v>
      </c>
      <c r="B25" s="39" t="s">
        <v>464</v>
      </c>
      <c r="C25" s="32">
        <v>1565</v>
      </c>
      <c r="D25" s="32">
        <v>5933</v>
      </c>
      <c r="E25" s="57">
        <v>0.26400000000000001</v>
      </c>
      <c r="F25" s="57">
        <f t="shared" si="0"/>
        <v>0.33495885400792441</v>
      </c>
      <c r="G25" s="58">
        <v>1569</v>
      </c>
      <c r="H25" s="32">
        <v>304</v>
      </c>
      <c r="I25" s="32">
        <v>46</v>
      </c>
      <c r="J25" s="32">
        <v>208</v>
      </c>
      <c r="K25" s="32">
        <v>836</v>
      </c>
      <c r="L25" s="32">
        <v>629</v>
      </c>
      <c r="M25" s="32">
        <v>827</v>
      </c>
      <c r="N25" s="32">
        <v>109</v>
      </c>
      <c r="O25" s="32">
        <v>1145</v>
      </c>
      <c r="P25" s="32">
        <v>83</v>
      </c>
      <c r="Q25" s="59">
        <v>2.5299999999999998</v>
      </c>
      <c r="R25" s="58">
        <v>3957</v>
      </c>
      <c r="S25" s="57">
        <f t="shared" si="1"/>
        <v>0.43637282993426596</v>
      </c>
      <c r="T25" s="60">
        <f t="shared" si="2"/>
        <v>0.77133168394219043</v>
      </c>
    </row>
    <row r="26" spans="1:20" ht="15" x14ac:dyDescent="0.2">
      <c r="A26" s="42">
        <v>8</v>
      </c>
      <c r="B26" s="43" t="s">
        <v>465</v>
      </c>
      <c r="C26" s="61">
        <v>1620</v>
      </c>
      <c r="D26" s="61">
        <v>6042</v>
      </c>
      <c r="E26" s="62">
        <v>0.28699999999999998</v>
      </c>
      <c r="F26" s="63">
        <f t="shared" si="0"/>
        <v>0.3664705882352941</v>
      </c>
      <c r="G26" s="64">
        <v>1734</v>
      </c>
      <c r="H26" s="61">
        <v>364</v>
      </c>
      <c r="I26" s="61">
        <v>27</v>
      </c>
      <c r="J26" s="61">
        <v>242</v>
      </c>
      <c r="K26" s="61">
        <v>885</v>
      </c>
      <c r="L26" s="61">
        <v>758</v>
      </c>
      <c r="M26" s="61">
        <v>949</v>
      </c>
      <c r="N26" s="61">
        <v>113</v>
      </c>
      <c r="O26" s="61">
        <v>1072</v>
      </c>
      <c r="P26" s="61">
        <v>101</v>
      </c>
      <c r="Q26" s="65">
        <v>2.86</v>
      </c>
      <c r="R26" s="64">
        <v>4626</v>
      </c>
      <c r="S26" s="63">
        <f t="shared" si="1"/>
        <v>0.47633234028467397</v>
      </c>
      <c r="T26" s="66">
        <f t="shared" si="2"/>
        <v>0.84280292851996808</v>
      </c>
    </row>
    <row r="27" spans="1:20" ht="15" x14ac:dyDescent="0.2">
      <c r="A27" s="38">
        <v>9</v>
      </c>
      <c r="B27" s="39" t="s">
        <v>648</v>
      </c>
      <c r="C27" s="32">
        <v>1459</v>
      </c>
      <c r="D27" s="32">
        <v>5443</v>
      </c>
      <c r="E27" s="57">
        <v>0.28599999999999998</v>
      </c>
      <c r="F27" s="57">
        <f t="shared" si="0"/>
        <v>0.35543766578249336</v>
      </c>
      <c r="G27" s="58">
        <v>1555</v>
      </c>
      <c r="H27" s="32">
        <v>304</v>
      </c>
      <c r="I27" s="32">
        <v>27</v>
      </c>
      <c r="J27" s="32">
        <v>169</v>
      </c>
      <c r="K27" s="32">
        <v>700</v>
      </c>
      <c r="L27" s="32">
        <v>589</v>
      </c>
      <c r="M27" s="32">
        <v>778</v>
      </c>
      <c r="N27" s="32">
        <v>107</v>
      </c>
      <c r="O27" s="32">
        <v>966</v>
      </c>
      <c r="P27" s="32">
        <v>78</v>
      </c>
      <c r="Q27" s="59">
        <v>2.57</v>
      </c>
      <c r="R27" s="58">
        <v>3745</v>
      </c>
      <c r="S27" s="57">
        <f t="shared" si="1"/>
        <v>0.44460775307734707</v>
      </c>
      <c r="T27" s="60">
        <f t="shared" si="2"/>
        <v>0.80004541885984048</v>
      </c>
    </row>
    <row r="28" spans="1:20" ht="15" x14ac:dyDescent="0.2">
      <c r="A28" s="42">
        <v>10</v>
      </c>
      <c r="B28" s="43" t="s">
        <v>466</v>
      </c>
      <c r="C28" s="61">
        <v>1593</v>
      </c>
      <c r="D28" s="61">
        <v>5932</v>
      </c>
      <c r="E28" s="62">
        <v>0.26600000000000001</v>
      </c>
      <c r="F28" s="63">
        <f t="shared" si="0"/>
        <v>0.33496183206106872</v>
      </c>
      <c r="G28" s="64">
        <v>1576</v>
      </c>
      <c r="H28" s="61">
        <v>319</v>
      </c>
      <c r="I28" s="61">
        <v>49</v>
      </c>
      <c r="J28" s="61">
        <v>192</v>
      </c>
      <c r="K28" s="61">
        <v>841</v>
      </c>
      <c r="L28" s="61">
        <v>618</v>
      </c>
      <c r="M28" s="61">
        <v>861</v>
      </c>
      <c r="N28" s="61">
        <v>205</v>
      </c>
      <c r="O28" s="61">
        <v>1193</v>
      </c>
      <c r="P28" s="61">
        <v>101</v>
      </c>
      <c r="Q28" s="65">
        <v>2.57</v>
      </c>
      <c r="R28" s="64">
        <v>4087</v>
      </c>
      <c r="S28" s="63">
        <f t="shared" si="1"/>
        <v>0.43307484828051246</v>
      </c>
      <c r="T28" s="66">
        <f t="shared" si="2"/>
        <v>0.76803668034158123</v>
      </c>
    </row>
    <row r="29" spans="1:20" ht="15" x14ac:dyDescent="0.2">
      <c r="A29" s="38">
        <v>11</v>
      </c>
      <c r="B29" s="39" t="s">
        <v>647</v>
      </c>
      <c r="C29" s="32">
        <v>1582</v>
      </c>
      <c r="D29" s="32">
        <v>5842</v>
      </c>
      <c r="E29" s="57">
        <v>0.26900000000000002</v>
      </c>
      <c r="F29" s="57">
        <f t="shared" si="0"/>
        <v>0.33437305053025579</v>
      </c>
      <c r="G29" s="58">
        <v>1574</v>
      </c>
      <c r="H29" s="32">
        <v>271</v>
      </c>
      <c r="I29" s="32">
        <v>21</v>
      </c>
      <c r="J29" s="32">
        <v>226</v>
      </c>
      <c r="K29" s="32">
        <v>816</v>
      </c>
      <c r="L29" s="32">
        <v>570</v>
      </c>
      <c r="M29" s="32">
        <v>801</v>
      </c>
      <c r="N29" s="32">
        <v>83</v>
      </c>
      <c r="O29" s="32">
        <v>1034</v>
      </c>
      <c r="P29" s="32">
        <v>80</v>
      </c>
      <c r="Q29" s="59">
        <v>2.48</v>
      </c>
      <c r="R29" s="58">
        <v>3928</v>
      </c>
      <c r="S29" s="57">
        <f t="shared" si="1"/>
        <v>0.43906196508045192</v>
      </c>
      <c r="T29" s="60">
        <f t="shared" si="2"/>
        <v>0.77343501561070771</v>
      </c>
    </row>
    <row r="30" spans="1:20" ht="16" thickBot="1" x14ac:dyDescent="0.25">
      <c r="A30" s="50">
        <v>12</v>
      </c>
      <c r="B30" s="51" t="s">
        <v>649</v>
      </c>
      <c r="C30" s="67">
        <v>1551</v>
      </c>
      <c r="D30" s="67">
        <v>5692</v>
      </c>
      <c r="E30" s="68">
        <v>0.26300000000000001</v>
      </c>
      <c r="F30" s="69">
        <f t="shared" si="0"/>
        <v>0.3366023410313192</v>
      </c>
      <c r="G30" s="70">
        <v>1498</v>
      </c>
      <c r="H30" s="67">
        <v>315</v>
      </c>
      <c r="I30" s="67">
        <v>25</v>
      </c>
      <c r="J30" s="67">
        <v>257</v>
      </c>
      <c r="K30" s="67">
        <v>890</v>
      </c>
      <c r="L30" s="67">
        <v>630</v>
      </c>
      <c r="M30" s="67">
        <v>845</v>
      </c>
      <c r="N30" s="67">
        <v>83</v>
      </c>
      <c r="O30" s="67">
        <v>1261</v>
      </c>
      <c r="P30" s="67">
        <v>77</v>
      </c>
      <c r="Q30" s="71">
        <v>2.5299999999999998</v>
      </c>
      <c r="R30" s="70">
        <v>3920</v>
      </c>
      <c r="S30" s="69">
        <f t="shared" si="1"/>
        <v>0.46275474349964862</v>
      </c>
      <c r="T30" s="72">
        <f t="shared" si="2"/>
        <v>0.79935708453096788</v>
      </c>
    </row>
    <row r="31" spans="1:20" ht="15" x14ac:dyDescent="0.2">
      <c r="A31" s="39"/>
      <c r="B31" s="39"/>
      <c r="C31" s="39"/>
      <c r="D31" s="39"/>
      <c r="E31" s="39"/>
      <c r="F31" s="57"/>
      <c r="G31" s="39"/>
      <c r="H31" s="39"/>
      <c r="I31" s="39"/>
      <c r="J31" s="39"/>
      <c r="K31" s="39"/>
      <c r="L31" s="39"/>
      <c r="M31" s="39"/>
      <c r="N31" s="39"/>
      <c r="O31" s="39"/>
      <c r="P31" s="39"/>
      <c r="Q31" s="39"/>
      <c r="R31" s="39"/>
      <c r="S31" s="57"/>
      <c r="T31" s="57"/>
    </row>
    <row r="32" spans="1:20" ht="16" thickBot="1" x14ac:dyDescent="0.25">
      <c r="A32" s="32"/>
      <c r="B32" s="32"/>
      <c r="C32" s="32"/>
      <c r="D32" s="32"/>
      <c r="E32" s="32"/>
      <c r="F32" s="32"/>
      <c r="G32" s="32"/>
      <c r="H32" s="32"/>
      <c r="I32" s="32"/>
      <c r="J32" s="32"/>
      <c r="K32" s="32"/>
      <c r="L32" s="32"/>
      <c r="M32" s="32"/>
      <c r="N32" s="32"/>
      <c r="O32" s="32"/>
      <c r="P32" s="32"/>
      <c r="Q32" s="32"/>
      <c r="R32" s="32"/>
      <c r="S32" s="32"/>
      <c r="T32" s="32"/>
    </row>
    <row r="33" spans="1:20" ht="16" thickBot="1" x14ac:dyDescent="0.25">
      <c r="A33" s="73" t="s">
        <v>467</v>
      </c>
      <c r="B33" s="55" t="s">
        <v>468</v>
      </c>
      <c r="C33" s="55" t="s">
        <v>486</v>
      </c>
      <c r="D33" s="55" t="s">
        <v>487</v>
      </c>
      <c r="E33" s="55" t="s">
        <v>488</v>
      </c>
      <c r="F33" s="55" t="s">
        <v>489</v>
      </c>
      <c r="G33" s="55" t="s">
        <v>672</v>
      </c>
      <c r="H33" s="55" t="s">
        <v>673</v>
      </c>
      <c r="I33" s="55" t="s">
        <v>674</v>
      </c>
      <c r="J33" s="55" t="s">
        <v>675</v>
      </c>
      <c r="K33" s="55" t="s">
        <v>676</v>
      </c>
      <c r="L33" s="55" t="s">
        <v>677</v>
      </c>
      <c r="M33" s="55" t="s">
        <v>478</v>
      </c>
      <c r="N33" s="55" t="s">
        <v>481</v>
      </c>
      <c r="O33" s="55" t="s">
        <v>473</v>
      </c>
      <c r="P33" s="55" t="s">
        <v>678</v>
      </c>
      <c r="Q33" s="55" t="s">
        <v>679</v>
      </c>
      <c r="R33" s="56" t="s">
        <v>680</v>
      </c>
      <c r="S33" s="32"/>
      <c r="T33" s="32"/>
    </row>
    <row r="34" spans="1:20" ht="15" x14ac:dyDescent="0.2">
      <c r="A34" s="38">
        <v>1</v>
      </c>
      <c r="B34" s="39" t="s">
        <v>485</v>
      </c>
      <c r="C34" s="32">
        <v>162</v>
      </c>
      <c r="D34" s="32">
        <v>140</v>
      </c>
      <c r="E34" s="74">
        <v>1165.0999999999999</v>
      </c>
      <c r="F34" s="32">
        <v>76</v>
      </c>
      <c r="G34" s="32">
        <v>60</v>
      </c>
      <c r="H34" s="32">
        <v>86</v>
      </c>
      <c r="I34" s="32">
        <v>6</v>
      </c>
      <c r="J34" s="32">
        <v>456</v>
      </c>
      <c r="K34" s="59">
        <v>3.52</v>
      </c>
      <c r="L34" s="75">
        <f>(M34+O34)/E34</f>
        <v>1.2110548450776759</v>
      </c>
      <c r="M34" s="75">
        <v>361</v>
      </c>
      <c r="N34" s="32">
        <v>1087</v>
      </c>
      <c r="O34" s="32">
        <v>1050</v>
      </c>
      <c r="P34" s="32">
        <f>(N34/(E34/9))</f>
        <v>8.396704145566904</v>
      </c>
      <c r="Q34" s="59">
        <v>13.36</v>
      </c>
      <c r="R34" s="76">
        <v>4036</v>
      </c>
      <c r="S34" s="32"/>
      <c r="T34" s="32"/>
    </row>
    <row r="35" spans="1:20" ht="15" x14ac:dyDescent="0.2">
      <c r="A35" s="42">
        <v>2</v>
      </c>
      <c r="B35" s="43" t="s">
        <v>668</v>
      </c>
      <c r="C35" s="61">
        <v>162</v>
      </c>
      <c r="D35" s="61">
        <v>140</v>
      </c>
      <c r="E35" s="77">
        <v>1210</v>
      </c>
      <c r="F35" s="61">
        <v>84</v>
      </c>
      <c r="G35" s="61">
        <v>57</v>
      </c>
      <c r="H35" s="61">
        <v>82</v>
      </c>
      <c r="I35" s="61">
        <v>18</v>
      </c>
      <c r="J35" s="61">
        <v>481</v>
      </c>
      <c r="K35" s="65">
        <v>3.58</v>
      </c>
      <c r="L35" s="78">
        <f t="shared" ref="L35:L45" si="3">(M35+O35)/E35</f>
        <v>1.2504132231404959</v>
      </c>
      <c r="M35" s="79">
        <v>361</v>
      </c>
      <c r="N35" s="61">
        <v>1030</v>
      </c>
      <c r="O35" s="61">
        <v>1152</v>
      </c>
      <c r="P35" s="80">
        <f t="shared" ref="P35:P45" si="4">(N35/(E35/9))</f>
        <v>7.661157024793388</v>
      </c>
      <c r="Q35" s="65">
        <v>13.22</v>
      </c>
      <c r="R35" s="81">
        <v>3992</v>
      </c>
      <c r="S35" s="32"/>
      <c r="T35" s="32"/>
    </row>
    <row r="36" spans="1:20" ht="15" x14ac:dyDescent="0.2">
      <c r="A36" s="38">
        <v>3</v>
      </c>
      <c r="B36" s="39" t="s">
        <v>669</v>
      </c>
      <c r="C36" s="32">
        <v>162</v>
      </c>
      <c r="D36" s="32">
        <v>140</v>
      </c>
      <c r="E36" s="74">
        <v>1142.2</v>
      </c>
      <c r="F36" s="32">
        <v>72</v>
      </c>
      <c r="G36" s="32">
        <v>59</v>
      </c>
      <c r="H36" s="32">
        <v>73</v>
      </c>
      <c r="I36" s="32">
        <v>14</v>
      </c>
      <c r="J36" s="32">
        <v>487</v>
      </c>
      <c r="K36" s="59">
        <v>3.84</v>
      </c>
      <c r="L36" s="75">
        <f t="shared" si="3"/>
        <v>1.2502188758536157</v>
      </c>
      <c r="M36" s="75">
        <v>342</v>
      </c>
      <c r="N36" s="32">
        <v>1060</v>
      </c>
      <c r="O36" s="32">
        <v>1086</v>
      </c>
      <c r="P36" s="32">
        <f t="shared" si="4"/>
        <v>8.3523025739800385</v>
      </c>
      <c r="Q36" s="59">
        <v>12.19</v>
      </c>
      <c r="R36" s="82">
        <v>3681</v>
      </c>
      <c r="S36" s="32"/>
      <c r="T36" s="32"/>
    </row>
    <row r="37" spans="1:20" ht="15" x14ac:dyDescent="0.2">
      <c r="A37" s="42">
        <v>4</v>
      </c>
      <c r="B37" s="43" t="s">
        <v>639</v>
      </c>
      <c r="C37" s="61">
        <v>162</v>
      </c>
      <c r="D37" s="61">
        <v>140</v>
      </c>
      <c r="E37" s="77">
        <v>1146.2</v>
      </c>
      <c r="F37" s="61">
        <v>80</v>
      </c>
      <c r="G37" s="61">
        <v>61</v>
      </c>
      <c r="H37" s="61">
        <v>57</v>
      </c>
      <c r="I37" s="61">
        <v>13</v>
      </c>
      <c r="J37" s="61">
        <v>475</v>
      </c>
      <c r="K37" s="65">
        <v>3.73</v>
      </c>
      <c r="L37" s="78">
        <f t="shared" si="3"/>
        <v>1.2676670738091083</v>
      </c>
      <c r="M37" s="79">
        <v>390</v>
      </c>
      <c r="N37" s="61">
        <v>1026</v>
      </c>
      <c r="O37" s="61">
        <v>1063</v>
      </c>
      <c r="P37" s="80">
        <f t="shared" si="4"/>
        <v>8.0561856569534118</v>
      </c>
      <c r="Q37" s="65">
        <v>11.56</v>
      </c>
      <c r="R37" s="81">
        <v>3490</v>
      </c>
      <c r="S37" s="32"/>
      <c r="T37" s="32"/>
    </row>
    <row r="38" spans="1:20" ht="15" x14ac:dyDescent="0.2">
      <c r="A38" s="38">
        <v>5</v>
      </c>
      <c r="B38" s="39" t="s">
        <v>670</v>
      </c>
      <c r="C38" s="32">
        <v>162</v>
      </c>
      <c r="D38" s="32">
        <v>140</v>
      </c>
      <c r="E38" s="74">
        <v>1185.0999999999999</v>
      </c>
      <c r="F38" s="32">
        <v>71</v>
      </c>
      <c r="G38" s="32">
        <v>57</v>
      </c>
      <c r="H38" s="32">
        <v>80</v>
      </c>
      <c r="I38" s="32">
        <v>8</v>
      </c>
      <c r="J38" s="32">
        <v>470</v>
      </c>
      <c r="K38" s="59">
        <v>3.57</v>
      </c>
      <c r="L38" s="75">
        <f t="shared" si="3"/>
        <v>1.2859674289089529</v>
      </c>
      <c r="M38" s="75">
        <v>370</v>
      </c>
      <c r="N38" s="32">
        <v>967</v>
      </c>
      <c r="O38" s="32">
        <v>1154</v>
      </c>
      <c r="P38" s="32">
        <f t="shared" si="4"/>
        <v>7.3436840772930552</v>
      </c>
      <c r="Q38" s="59">
        <v>12.44</v>
      </c>
      <c r="R38" s="82">
        <v>3758</v>
      </c>
      <c r="S38" s="32"/>
      <c r="T38" s="32"/>
    </row>
    <row r="39" spans="1:20" ht="15" x14ac:dyDescent="0.2">
      <c r="A39" s="42">
        <v>6</v>
      </c>
      <c r="B39" s="43" t="s">
        <v>645</v>
      </c>
      <c r="C39" s="61">
        <v>162</v>
      </c>
      <c r="D39" s="61">
        <v>140</v>
      </c>
      <c r="E39" s="77">
        <v>1126.0999999999999</v>
      </c>
      <c r="F39" s="61">
        <v>62</v>
      </c>
      <c r="G39" s="61">
        <v>65</v>
      </c>
      <c r="H39" s="61">
        <v>63</v>
      </c>
      <c r="I39" s="61">
        <v>11</v>
      </c>
      <c r="J39" s="61">
        <v>486</v>
      </c>
      <c r="K39" s="65">
        <v>3.88</v>
      </c>
      <c r="L39" s="78">
        <f t="shared" si="3"/>
        <v>1.2751975845839625</v>
      </c>
      <c r="M39" s="79">
        <v>326</v>
      </c>
      <c r="N39" s="61">
        <v>968</v>
      </c>
      <c r="O39" s="61">
        <v>1110</v>
      </c>
      <c r="P39" s="80">
        <f t="shared" si="4"/>
        <v>7.73643548530326</v>
      </c>
      <c r="Q39" s="65">
        <v>10.88</v>
      </c>
      <c r="R39" s="81">
        <v>3285</v>
      </c>
      <c r="S39" s="32"/>
      <c r="T39" s="32"/>
    </row>
    <row r="40" spans="1:20" ht="15" x14ac:dyDescent="0.2">
      <c r="A40" s="38">
        <v>7</v>
      </c>
      <c r="B40" s="39" t="s">
        <v>464</v>
      </c>
      <c r="C40" s="32">
        <v>161</v>
      </c>
      <c r="D40" s="32">
        <v>132</v>
      </c>
      <c r="E40" s="74">
        <v>1147.2</v>
      </c>
      <c r="F40" s="32">
        <v>73</v>
      </c>
      <c r="G40" s="32">
        <v>56</v>
      </c>
      <c r="H40" s="32">
        <v>61</v>
      </c>
      <c r="I40" s="32">
        <v>10</v>
      </c>
      <c r="J40" s="32">
        <v>443</v>
      </c>
      <c r="K40" s="59">
        <v>3.47</v>
      </c>
      <c r="L40" s="75">
        <f t="shared" si="3"/>
        <v>1.2630753138075312</v>
      </c>
      <c r="M40" s="75">
        <v>390</v>
      </c>
      <c r="N40" s="32">
        <v>1013</v>
      </c>
      <c r="O40" s="32">
        <v>1059</v>
      </c>
      <c r="P40" s="32">
        <f t="shared" si="4"/>
        <v>7.9471757322175733</v>
      </c>
      <c r="Q40" s="59">
        <v>12.11</v>
      </c>
      <c r="R40" s="82">
        <v>3549</v>
      </c>
      <c r="S40" s="32"/>
      <c r="T40" s="32"/>
    </row>
    <row r="41" spans="1:20" ht="15" x14ac:dyDescent="0.2">
      <c r="A41" s="42">
        <v>8</v>
      </c>
      <c r="B41" s="43" t="s">
        <v>465</v>
      </c>
      <c r="C41" s="61">
        <v>161</v>
      </c>
      <c r="D41" s="61">
        <v>140</v>
      </c>
      <c r="E41" s="77">
        <v>1087</v>
      </c>
      <c r="F41" s="61">
        <v>66</v>
      </c>
      <c r="G41" s="61">
        <v>64</v>
      </c>
      <c r="H41" s="61">
        <v>58</v>
      </c>
      <c r="I41" s="61">
        <v>15</v>
      </c>
      <c r="J41" s="61">
        <v>548</v>
      </c>
      <c r="K41" s="65">
        <v>4.54</v>
      </c>
      <c r="L41" s="78">
        <f t="shared" si="3"/>
        <v>1.3707451701931923</v>
      </c>
      <c r="M41" s="79">
        <v>358</v>
      </c>
      <c r="N41" s="61">
        <v>812</v>
      </c>
      <c r="O41" s="61">
        <v>1132</v>
      </c>
      <c r="P41" s="80">
        <f t="shared" si="4"/>
        <v>6.7230910763569458</v>
      </c>
      <c r="Q41" s="65">
        <v>9.4499999999999993</v>
      </c>
      <c r="R41" s="81">
        <v>2844</v>
      </c>
      <c r="S41" s="32"/>
      <c r="T41" s="32"/>
    </row>
    <row r="42" spans="1:20" ht="15" x14ac:dyDescent="0.2">
      <c r="A42" s="38">
        <v>9</v>
      </c>
      <c r="B42" s="39" t="s">
        <v>648</v>
      </c>
      <c r="C42" s="32">
        <v>156</v>
      </c>
      <c r="D42" s="32">
        <v>139</v>
      </c>
      <c r="E42" s="74">
        <v>1111.0999999999999</v>
      </c>
      <c r="F42" s="32">
        <v>69</v>
      </c>
      <c r="G42" s="32">
        <v>54</v>
      </c>
      <c r="H42" s="32">
        <v>76</v>
      </c>
      <c r="I42" s="32">
        <v>2</v>
      </c>
      <c r="J42" s="32">
        <v>446</v>
      </c>
      <c r="K42" s="59">
        <v>3.61</v>
      </c>
      <c r="L42" s="75">
        <f t="shared" si="3"/>
        <v>1.2978129781297814</v>
      </c>
      <c r="M42" s="75">
        <v>422</v>
      </c>
      <c r="N42" s="32">
        <v>1043</v>
      </c>
      <c r="O42" s="32">
        <v>1020</v>
      </c>
      <c r="P42" s="32">
        <f t="shared" si="4"/>
        <v>8.4483844838448388</v>
      </c>
      <c r="Q42" s="59">
        <v>12.23</v>
      </c>
      <c r="R42" s="82">
        <v>3607</v>
      </c>
      <c r="S42" s="32"/>
      <c r="T42" s="32"/>
    </row>
    <row r="43" spans="1:20" ht="15" x14ac:dyDescent="0.2">
      <c r="A43" s="42">
        <v>10</v>
      </c>
      <c r="B43" s="43" t="s">
        <v>466</v>
      </c>
      <c r="C43" s="61">
        <v>159</v>
      </c>
      <c r="D43" s="61">
        <v>140</v>
      </c>
      <c r="E43" s="77">
        <v>1137.2</v>
      </c>
      <c r="F43" s="61">
        <v>59</v>
      </c>
      <c r="G43" s="61">
        <v>71</v>
      </c>
      <c r="H43" s="61">
        <v>74</v>
      </c>
      <c r="I43" s="61">
        <v>15</v>
      </c>
      <c r="J43" s="61">
        <v>481</v>
      </c>
      <c r="K43" s="65">
        <v>3.81</v>
      </c>
      <c r="L43" s="78">
        <f t="shared" si="3"/>
        <v>1.2689060851213507</v>
      </c>
      <c r="M43" s="79">
        <v>335</v>
      </c>
      <c r="N43" s="61">
        <v>839</v>
      </c>
      <c r="O43" s="61">
        <v>1108</v>
      </c>
      <c r="P43" s="80">
        <f t="shared" si="4"/>
        <v>6.6399929651776297</v>
      </c>
      <c r="Q43" s="65">
        <v>10.68</v>
      </c>
      <c r="R43" s="81">
        <v>3192</v>
      </c>
      <c r="S43" s="32"/>
      <c r="T43" s="32"/>
    </row>
    <row r="44" spans="1:20" ht="15" x14ac:dyDescent="0.2">
      <c r="A44" s="38">
        <v>11</v>
      </c>
      <c r="B44" s="39" t="s">
        <v>647</v>
      </c>
      <c r="C44" s="32">
        <v>156</v>
      </c>
      <c r="D44" s="32">
        <v>140</v>
      </c>
      <c r="E44" s="74">
        <v>1058</v>
      </c>
      <c r="F44" s="32">
        <v>68</v>
      </c>
      <c r="G44" s="32">
        <v>59</v>
      </c>
      <c r="H44" s="32">
        <v>52</v>
      </c>
      <c r="I44" s="32">
        <v>10</v>
      </c>
      <c r="J44" s="32">
        <v>488</v>
      </c>
      <c r="K44" s="59">
        <v>4.1500000000000004</v>
      </c>
      <c r="L44" s="75">
        <f t="shared" si="3"/>
        <v>1.333648393194707</v>
      </c>
      <c r="M44" s="75">
        <v>346</v>
      </c>
      <c r="N44" s="32">
        <v>877</v>
      </c>
      <c r="O44" s="32">
        <v>1065</v>
      </c>
      <c r="P44" s="32">
        <f t="shared" si="4"/>
        <v>7.460302457466919</v>
      </c>
      <c r="Q44" s="59">
        <v>10.07</v>
      </c>
      <c r="R44" s="82">
        <v>2982</v>
      </c>
      <c r="S44" s="32"/>
      <c r="T44" s="32"/>
    </row>
    <row r="45" spans="1:20" ht="16" thickBot="1" x14ac:dyDescent="0.25">
      <c r="A45" s="50">
        <v>12</v>
      </c>
      <c r="B45" s="51" t="s">
        <v>649</v>
      </c>
      <c r="C45" s="67">
        <v>143</v>
      </c>
      <c r="D45" s="67">
        <v>140</v>
      </c>
      <c r="E45" s="83">
        <v>1016.2</v>
      </c>
      <c r="F45" s="67">
        <v>64</v>
      </c>
      <c r="G45" s="67">
        <v>63</v>
      </c>
      <c r="H45" s="67">
        <v>74</v>
      </c>
      <c r="I45" s="67">
        <v>19</v>
      </c>
      <c r="J45" s="67">
        <v>486</v>
      </c>
      <c r="K45" s="71">
        <v>4.3</v>
      </c>
      <c r="L45" s="84">
        <f t="shared" si="3"/>
        <v>1.3580003936233025</v>
      </c>
      <c r="M45" s="85">
        <v>412</v>
      </c>
      <c r="N45" s="67">
        <v>875</v>
      </c>
      <c r="O45" s="67">
        <v>968</v>
      </c>
      <c r="P45" s="53">
        <f t="shared" si="4"/>
        <v>7.7494587679590632</v>
      </c>
      <c r="Q45" s="71">
        <v>10.39</v>
      </c>
      <c r="R45" s="86">
        <v>2940</v>
      </c>
      <c r="S45" s="32"/>
      <c r="T45" s="32"/>
    </row>
    <row r="48" spans="1:20" x14ac:dyDescent="0.15">
      <c r="B48" s="1" t="s">
        <v>204</v>
      </c>
    </row>
    <row r="50" spans="1:5" ht="16" x14ac:dyDescent="0.2">
      <c r="A50" s="97" t="s">
        <v>624</v>
      </c>
      <c r="B50" s="97" t="s">
        <v>625</v>
      </c>
      <c r="C50" s="97" t="s">
        <v>626</v>
      </c>
      <c r="D50" s="97" t="s">
        <v>216</v>
      </c>
      <c r="E50" s="97" t="s">
        <v>628</v>
      </c>
    </row>
    <row r="51" spans="1:5" ht="16" x14ac:dyDescent="0.2">
      <c r="A51" s="108" t="s">
        <v>217</v>
      </c>
      <c r="B51" s="108" t="s">
        <v>218</v>
      </c>
      <c r="C51" s="108" t="s">
        <v>219</v>
      </c>
      <c r="D51" s="109">
        <v>40041</v>
      </c>
      <c r="E51" s="110">
        <v>2.4305555555555556E-2</v>
      </c>
    </row>
    <row r="52" spans="1:5" ht="16" x14ac:dyDescent="0.2">
      <c r="A52" s="108" t="s">
        <v>217</v>
      </c>
      <c r="B52" s="108" t="s">
        <v>220</v>
      </c>
      <c r="C52" s="108" t="s">
        <v>219</v>
      </c>
      <c r="D52" s="109">
        <v>40041</v>
      </c>
      <c r="E52" s="110">
        <v>2.4305555555555556E-2</v>
      </c>
    </row>
    <row r="53" spans="1:5" ht="16" x14ac:dyDescent="0.2">
      <c r="A53" s="108" t="s">
        <v>217</v>
      </c>
      <c r="B53" s="108" t="s">
        <v>221</v>
      </c>
      <c r="C53" s="108" t="s">
        <v>219</v>
      </c>
      <c r="D53" s="109">
        <v>40041</v>
      </c>
      <c r="E53" s="110">
        <v>2.4305555555555556E-2</v>
      </c>
    </row>
    <row r="54" spans="1:5" ht="16" x14ac:dyDescent="0.2">
      <c r="A54" s="108" t="s">
        <v>217</v>
      </c>
      <c r="B54" s="108" t="s">
        <v>222</v>
      </c>
      <c r="C54" s="108" t="s">
        <v>219</v>
      </c>
      <c r="D54" s="109">
        <v>40041</v>
      </c>
      <c r="E54" s="110">
        <v>2.4305555555555556E-2</v>
      </c>
    </row>
    <row r="55" spans="1:5" ht="16" x14ac:dyDescent="0.2">
      <c r="A55" s="108" t="s">
        <v>217</v>
      </c>
      <c r="B55" s="108" t="s">
        <v>95</v>
      </c>
      <c r="C55" s="108" t="s">
        <v>219</v>
      </c>
      <c r="D55" s="109">
        <v>40041</v>
      </c>
      <c r="E55" s="110">
        <v>2.4305555555555556E-2</v>
      </c>
    </row>
    <row r="56" spans="1:5" ht="16" x14ac:dyDescent="0.2">
      <c r="A56" s="108" t="s">
        <v>219</v>
      </c>
      <c r="B56" s="108" t="s">
        <v>96</v>
      </c>
      <c r="C56" s="108" t="s">
        <v>217</v>
      </c>
      <c r="D56" s="109">
        <v>40041</v>
      </c>
      <c r="E56" s="110">
        <v>2.4305555555555556E-2</v>
      </c>
    </row>
    <row r="57" spans="1:5" ht="16" x14ac:dyDescent="0.2">
      <c r="A57" s="108" t="s">
        <v>219</v>
      </c>
      <c r="B57" s="108" t="s">
        <v>97</v>
      </c>
      <c r="C57" s="108" t="s">
        <v>217</v>
      </c>
      <c r="D57" s="109">
        <v>40041</v>
      </c>
      <c r="E57" s="110">
        <v>2.4305555555555556E-2</v>
      </c>
    </row>
    <row r="58" spans="1:5" ht="16" x14ac:dyDescent="0.2">
      <c r="A58" s="108" t="s">
        <v>219</v>
      </c>
      <c r="B58" s="108" t="s">
        <v>98</v>
      </c>
      <c r="C58" s="108" t="s">
        <v>217</v>
      </c>
      <c r="D58" s="109">
        <v>40041</v>
      </c>
      <c r="E58" s="110">
        <v>2.4305555555555556E-2</v>
      </c>
    </row>
    <row r="59" spans="1:5" ht="16" x14ac:dyDescent="0.2">
      <c r="A59" s="108" t="s">
        <v>219</v>
      </c>
      <c r="B59" s="108" t="s">
        <v>99</v>
      </c>
      <c r="C59" s="108" t="s">
        <v>217</v>
      </c>
      <c r="D59" s="109">
        <v>40041</v>
      </c>
      <c r="E59" s="110">
        <v>2.4305555555555556E-2</v>
      </c>
    </row>
    <row r="60" spans="1:5" ht="16" x14ac:dyDescent="0.2">
      <c r="A60" s="98" t="s">
        <v>219</v>
      </c>
      <c r="B60" s="98" t="s">
        <v>100</v>
      </c>
      <c r="C60" s="98" t="s">
        <v>669</v>
      </c>
      <c r="D60" s="111">
        <v>40041</v>
      </c>
      <c r="E60" s="112">
        <v>1.7361111111111112E-2</v>
      </c>
    </row>
    <row r="61" spans="1:5" ht="16" x14ac:dyDescent="0.2">
      <c r="A61" s="98" t="s">
        <v>219</v>
      </c>
      <c r="B61" s="98" t="s">
        <v>101</v>
      </c>
      <c r="C61" s="98" t="s">
        <v>669</v>
      </c>
      <c r="D61" s="111">
        <v>40041</v>
      </c>
      <c r="E61" s="112">
        <v>1.7361111111111112E-2</v>
      </c>
    </row>
    <row r="62" spans="1:5" ht="16" x14ac:dyDescent="0.2">
      <c r="A62" s="98" t="s">
        <v>219</v>
      </c>
      <c r="B62" s="98" t="s">
        <v>102</v>
      </c>
      <c r="C62" s="98" t="s">
        <v>669</v>
      </c>
      <c r="D62" s="111">
        <v>40041</v>
      </c>
      <c r="E62" s="112">
        <v>1.7361111111111112E-2</v>
      </c>
    </row>
    <row r="63" spans="1:5" ht="16" x14ac:dyDescent="0.2">
      <c r="A63" s="98" t="s">
        <v>219</v>
      </c>
      <c r="B63" s="98" t="s">
        <v>103</v>
      </c>
      <c r="C63" s="98" t="s">
        <v>669</v>
      </c>
      <c r="D63" s="111">
        <v>40041</v>
      </c>
      <c r="E63" s="112">
        <v>1.7361111111111112E-2</v>
      </c>
    </row>
    <row r="64" spans="1:5" ht="16" x14ac:dyDescent="0.2">
      <c r="A64" s="98" t="s">
        <v>669</v>
      </c>
      <c r="B64" s="98" t="s">
        <v>104</v>
      </c>
      <c r="C64" s="98" t="s">
        <v>219</v>
      </c>
      <c r="D64" s="111">
        <v>40041</v>
      </c>
      <c r="E64" s="112">
        <v>1.7361111111111112E-2</v>
      </c>
    </row>
    <row r="65" spans="1:5" ht="16" x14ac:dyDescent="0.2">
      <c r="A65" s="98" t="s">
        <v>669</v>
      </c>
      <c r="B65" s="98" t="s">
        <v>105</v>
      </c>
      <c r="C65" s="98" t="s">
        <v>219</v>
      </c>
      <c r="D65" s="111">
        <v>40041</v>
      </c>
      <c r="E65" s="112">
        <v>1.7361111111111112E-2</v>
      </c>
    </row>
    <row r="66" spans="1:5" ht="16" x14ac:dyDescent="0.2">
      <c r="A66" s="98" t="s">
        <v>669</v>
      </c>
      <c r="B66" s="98" t="s">
        <v>106</v>
      </c>
      <c r="C66" s="98" t="s">
        <v>219</v>
      </c>
      <c r="D66" s="111">
        <v>40041</v>
      </c>
      <c r="E66" s="112">
        <v>1.7361111111111112E-2</v>
      </c>
    </row>
    <row r="67" spans="1:5" ht="16" x14ac:dyDescent="0.2">
      <c r="A67" s="98" t="s">
        <v>669</v>
      </c>
      <c r="B67" s="98" t="s">
        <v>107</v>
      </c>
      <c r="C67" s="98" t="s">
        <v>219</v>
      </c>
      <c r="D67" s="111">
        <v>40041</v>
      </c>
      <c r="E67" s="112">
        <v>1.7361111111111112E-2</v>
      </c>
    </row>
    <row r="68" spans="1:5" ht="16" x14ac:dyDescent="0.2">
      <c r="A68" s="108" t="s">
        <v>108</v>
      </c>
      <c r="B68" s="108" t="s">
        <v>109</v>
      </c>
      <c r="C68" s="108" t="s">
        <v>110</v>
      </c>
      <c r="D68" s="109">
        <v>40033</v>
      </c>
      <c r="E68" s="110">
        <v>0.4826388888888889</v>
      </c>
    </row>
    <row r="69" spans="1:5" ht="16" x14ac:dyDescent="0.2">
      <c r="A69" s="108" t="s">
        <v>108</v>
      </c>
      <c r="B69" s="108" t="s">
        <v>111</v>
      </c>
      <c r="C69" s="108" t="s">
        <v>110</v>
      </c>
      <c r="D69" s="109">
        <v>40033</v>
      </c>
      <c r="E69" s="110">
        <v>0.4826388888888889</v>
      </c>
    </row>
    <row r="70" spans="1:5" ht="16" x14ac:dyDescent="0.2">
      <c r="A70" s="108" t="s">
        <v>108</v>
      </c>
      <c r="B70" s="108" t="s">
        <v>112</v>
      </c>
      <c r="C70" s="108" t="s">
        <v>110</v>
      </c>
      <c r="D70" s="109">
        <v>40033</v>
      </c>
      <c r="E70" s="110">
        <v>0.4826388888888889</v>
      </c>
    </row>
    <row r="71" spans="1:5" ht="16" x14ac:dyDescent="0.2">
      <c r="A71" s="108" t="s">
        <v>110</v>
      </c>
      <c r="B71" s="108" t="s">
        <v>113</v>
      </c>
      <c r="C71" s="108" t="s">
        <v>108</v>
      </c>
      <c r="D71" s="109">
        <v>40033</v>
      </c>
      <c r="E71" s="110">
        <v>0.4826388888888889</v>
      </c>
    </row>
    <row r="72" spans="1:5" ht="16" x14ac:dyDescent="0.2">
      <c r="A72" s="108" t="s">
        <v>110</v>
      </c>
      <c r="B72" s="108" t="s">
        <v>114</v>
      </c>
      <c r="C72" s="108" t="s">
        <v>108</v>
      </c>
      <c r="D72" s="109">
        <v>40033</v>
      </c>
      <c r="E72" s="110">
        <v>0.4826388888888889</v>
      </c>
    </row>
    <row r="73" spans="1:5" ht="16" x14ac:dyDescent="0.2">
      <c r="A73" s="108" t="s">
        <v>110</v>
      </c>
      <c r="B73" s="108" t="s">
        <v>115</v>
      </c>
      <c r="C73" s="108" t="s">
        <v>108</v>
      </c>
      <c r="D73" s="109">
        <v>40033</v>
      </c>
      <c r="E73" s="110">
        <v>0.4826388888888889</v>
      </c>
    </row>
    <row r="74" spans="1:5" ht="16" x14ac:dyDescent="0.2">
      <c r="A74" s="98" t="s">
        <v>116</v>
      </c>
      <c r="B74" s="98" t="s">
        <v>117</v>
      </c>
      <c r="C74" s="98" t="s">
        <v>118</v>
      </c>
      <c r="D74" s="111">
        <v>40033</v>
      </c>
      <c r="E74" s="112">
        <v>0.34027777777777773</v>
      </c>
    </row>
    <row r="75" spans="1:5" ht="16" x14ac:dyDescent="0.2">
      <c r="A75" s="98" t="s">
        <v>116</v>
      </c>
      <c r="B75" s="98" t="s">
        <v>119</v>
      </c>
      <c r="C75" s="98" t="s">
        <v>118</v>
      </c>
      <c r="D75" s="111">
        <v>40033</v>
      </c>
      <c r="E75" s="112">
        <v>0.34027777777777773</v>
      </c>
    </row>
    <row r="76" spans="1:5" ht="16" x14ac:dyDescent="0.2">
      <c r="A76" s="98" t="s">
        <v>116</v>
      </c>
      <c r="B76" s="98" t="s">
        <v>120</v>
      </c>
      <c r="C76" s="98" t="s">
        <v>118</v>
      </c>
      <c r="D76" s="111">
        <v>40033</v>
      </c>
      <c r="E76" s="112">
        <v>0.34027777777777773</v>
      </c>
    </row>
    <row r="77" spans="1:5" ht="16" x14ac:dyDescent="0.2">
      <c r="A77" s="98" t="s">
        <v>118</v>
      </c>
      <c r="B77" s="98" t="s">
        <v>121</v>
      </c>
      <c r="C77" s="98" t="s">
        <v>116</v>
      </c>
      <c r="D77" s="111">
        <v>40033</v>
      </c>
      <c r="E77" s="112">
        <v>0.34027777777777773</v>
      </c>
    </row>
    <row r="78" spans="1:5" ht="16" x14ac:dyDescent="0.2">
      <c r="A78" s="98" t="s">
        <v>118</v>
      </c>
      <c r="B78" s="98" t="s">
        <v>122</v>
      </c>
      <c r="C78" s="98" t="s">
        <v>116</v>
      </c>
      <c r="D78" s="111">
        <v>40033</v>
      </c>
      <c r="E78" s="112">
        <v>0.34027777777777773</v>
      </c>
    </row>
    <row r="79" spans="1:5" ht="16" x14ac:dyDescent="0.2">
      <c r="A79" s="98" t="s">
        <v>118</v>
      </c>
      <c r="B79" s="98" t="s">
        <v>123</v>
      </c>
      <c r="C79" s="98" t="s">
        <v>116</v>
      </c>
      <c r="D79" s="111">
        <v>40033</v>
      </c>
      <c r="E79" s="112">
        <v>0.34027777777777773</v>
      </c>
    </row>
    <row r="80" spans="1:5" ht="16" x14ac:dyDescent="0.2">
      <c r="A80" s="108" t="s">
        <v>110</v>
      </c>
      <c r="B80" s="108" t="s">
        <v>354</v>
      </c>
      <c r="C80" s="108" t="s">
        <v>124</v>
      </c>
      <c r="D80" s="109">
        <v>40012</v>
      </c>
      <c r="E80" s="110">
        <v>0.97222222222222221</v>
      </c>
    </row>
    <row r="81" spans="1:5" ht="16" x14ac:dyDescent="0.2">
      <c r="A81" s="108" t="s">
        <v>110</v>
      </c>
      <c r="B81" s="108" t="s">
        <v>125</v>
      </c>
      <c r="C81" s="108" t="s">
        <v>124</v>
      </c>
      <c r="D81" s="109">
        <v>40012</v>
      </c>
      <c r="E81" s="110">
        <v>0.97222222222222221</v>
      </c>
    </row>
    <row r="82" spans="1:5" ht="16" x14ac:dyDescent="0.2">
      <c r="A82" s="108" t="s">
        <v>110</v>
      </c>
      <c r="B82" s="108" t="s">
        <v>126</v>
      </c>
      <c r="C82" s="108" t="s">
        <v>124</v>
      </c>
      <c r="D82" s="109">
        <v>40012</v>
      </c>
      <c r="E82" s="110">
        <v>0.97222222222222221</v>
      </c>
    </row>
    <row r="83" spans="1:5" ht="16" x14ac:dyDescent="0.2">
      <c r="A83" s="108" t="s">
        <v>124</v>
      </c>
      <c r="B83" s="108" t="s">
        <v>114</v>
      </c>
      <c r="C83" s="108" t="s">
        <v>110</v>
      </c>
      <c r="D83" s="109">
        <v>40012</v>
      </c>
      <c r="E83" s="110">
        <v>0.97222222222222221</v>
      </c>
    </row>
    <row r="84" spans="1:5" ht="16" x14ac:dyDescent="0.2">
      <c r="A84" s="108" t="s">
        <v>124</v>
      </c>
      <c r="B84" s="108" t="s">
        <v>127</v>
      </c>
      <c r="C84" s="108" t="s">
        <v>110</v>
      </c>
      <c r="D84" s="109">
        <v>40012</v>
      </c>
      <c r="E84" s="110">
        <v>0.97222222222222221</v>
      </c>
    </row>
    <row r="85" spans="1:5" ht="16" x14ac:dyDescent="0.2">
      <c r="A85" s="108" t="s">
        <v>124</v>
      </c>
      <c r="B85" s="108" t="s">
        <v>128</v>
      </c>
      <c r="C85" s="108" t="s">
        <v>110</v>
      </c>
      <c r="D85" s="109">
        <v>40012</v>
      </c>
      <c r="E85" s="110">
        <v>0.97222222222222221</v>
      </c>
    </row>
    <row r="86" spans="1:5" ht="16" x14ac:dyDescent="0.2">
      <c r="A86" s="98" t="s">
        <v>118</v>
      </c>
      <c r="B86" s="98" t="s">
        <v>129</v>
      </c>
      <c r="C86" s="98" t="s">
        <v>124</v>
      </c>
      <c r="D86" s="111">
        <v>40012</v>
      </c>
      <c r="E86" s="112">
        <v>0.97222222222222221</v>
      </c>
    </row>
    <row r="87" spans="1:5" ht="16" x14ac:dyDescent="0.2">
      <c r="A87" s="98" t="s">
        <v>118</v>
      </c>
      <c r="B87" s="98" t="s">
        <v>130</v>
      </c>
      <c r="C87" s="98" t="s">
        <v>124</v>
      </c>
      <c r="D87" s="111">
        <v>40012</v>
      </c>
      <c r="E87" s="112">
        <v>0.97222222222222221</v>
      </c>
    </row>
    <row r="88" spans="1:5" ht="16" x14ac:dyDescent="0.2">
      <c r="A88" s="98" t="s">
        <v>124</v>
      </c>
      <c r="B88" s="98" t="s">
        <v>131</v>
      </c>
      <c r="C88" s="98" t="s">
        <v>118</v>
      </c>
      <c r="D88" s="111">
        <v>40012</v>
      </c>
      <c r="E88" s="112">
        <v>0.97222222222222221</v>
      </c>
    </row>
    <row r="89" spans="1:5" ht="16" x14ac:dyDescent="0.2">
      <c r="A89" s="98" t="s">
        <v>124</v>
      </c>
      <c r="B89" s="98" t="s">
        <v>132</v>
      </c>
      <c r="C89" s="98" t="s">
        <v>118</v>
      </c>
      <c r="D89" s="111">
        <v>40012</v>
      </c>
      <c r="E89" s="112">
        <v>0.97222222222222221</v>
      </c>
    </row>
    <row r="90" spans="1:5" ht="16" x14ac:dyDescent="0.2">
      <c r="A90" s="108" t="s">
        <v>110</v>
      </c>
      <c r="B90" s="108" t="s">
        <v>133</v>
      </c>
      <c r="C90" s="108" t="s">
        <v>134</v>
      </c>
      <c r="D90" s="109">
        <v>40004</v>
      </c>
      <c r="E90" s="110">
        <v>0.61805555555555558</v>
      </c>
    </row>
    <row r="91" spans="1:5" ht="16" x14ac:dyDescent="0.2">
      <c r="A91" s="108" t="s">
        <v>110</v>
      </c>
      <c r="B91" s="108" t="s">
        <v>135</v>
      </c>
      <c r="C91" s="108" t="s">
        <v>134</v>
      </c>
      <c r="D91" s="109">
        <v>40004</v>
      </c>
      <c r="E91" s="110">
        <v>0.61805555555555558</v>
      </c>
    </row>
    <row r="92" spans="1:5" ht="16" x14ac:dyDescent="0.2">
      <c r="A92" s="108" t="s">
        <v>110</v>
      </c>
      <c r="B92" s="108" t="s">
        <v>136</v>
      </c>
      <c r="C92" s="108" t="s">
        <v>134</v>
      </c>
      <c r="D92" s="109">
        <v>40004</v>
      </c>
      <c r="E92" s="110">
        <v>0.61805555555555558</v>
      </c>
    </row>
    <row r="93" spans="1:5" ht="16" x14ac:dyDescent="0.2">
      <c r="A93" s="108" t="s">
        <v>110</v>
      </c>
      <c r="B93" s="108" t="s">
        <v>137</v>
      </c>
      <c r="C93" s="108" t="s">
        <v>134</v>
      </c>
      <c r="D93" s="109">
        <v>40004</v>
      </c>
      <c r="E93" s="110">
        <v>0.61805555555555558</v>
      </c>
    </row>
    <row r="94" spans="1:5" ht="16" x14ac:dyDescent="0.2">
      <c r="A94" s="108" t="s">
        <v>134</v>
      </c>
      <c r="B94" s="108" t="s">
        <v>138</v>
      </c>
      <c r="C94" s="108" t="s">
        <v>110</v>
      </c>
      <c r="D94" s="109">
        <v>40004</v>
      </c>
      <c r="E94" s="110">
        <v>0.61805555555555558</v>
      </c>
    </row>
    <row r="95" spans="1:5" ht="16" x14ac:dyDescent="0.2">
      <c r="A95" s="108" t="s">
        <v>134</v>
      </c>
      <c r="B95" s="108" t="s">
        <v>139</v>
      </c>
      <c r="C95" s="108" t="s">
        <v>110</v>
      </c>
      <c r="D95" s="109">
        <v>40004</v>
      </c>
      <c r="E95" s="110">
        <v>0.61805555555555558</v>
      </c>
    </row>
    <row r="96" spans="1:5" ht="16" x14ac:dyDescent="0.2">
      <c r="A96" s="108" t="s">
        <v>134</v>
      </c>
      <c r="B96" s="108" t="s">
        <v>140</v>
      </c>
      <c r="C96" s="108" t="s">
        <v>110</v>
      </c>
      <c r="D96" s="109">
        <v>40004</v>
      </c>
      <c r="E96" s="110">
        <v>0.61805555555555558</v>
      </c>
    </row>
    <row r="97" spans="1:5" ht="16" x14ac:dyDescent="0.2">
      <c r="A97" s="108" t="s">
        <v>134</v>
      </c>
      <c r="B97" s="108" t="s">
        <v>126</v>
      </c>
      <c r="C97" s="108" t="s">
        <v>110</v>
      </c>
      <c r="D97" s="109">
        <v>40004</v>
      </c>
      <c r="E97" s="110">
        <v>0.61805555555555558</v>
      </c>
    </row>
    <row r="98" spans="1:5" ht="16" x14ac:dyDescent="0.2">
      <c r="A98" s="98" t="s">
        <v>669</v>
      </c>
      <c r="B98" s="98" t="s">
        <v>141</v>
      </c>
      <c r="C98" s="98" t="s">
        <v>108</v>
      </c>
      <c r="D98" s="111">
        <v>39995</v>
      </c>
      <c r="E98" s="112">
        <v>0.57291666666666663</v>
      </c>
    </row>
    <row r="99" spans="1:5" ht="16" x14ac:dyDescent="0.2">
      <c r="A99" s="98" t="s">
        <v>669</v>
      </c>
      <c r="B99" s="98" t="s">
        <v>142</v>
      </c>
      <c r="C99" s="98" t="s">
        <v>108</v>
      </c>
      <c r="D99" s="111">
        <v>39995</v>
      </c>
      <c r="E99" s="112">
        <v>0.57291666666666663</v>
      </c>
    </row>
    <row r="100" spans="1:5" ht="16" x14ac:dyDescent="0.2">
      <c r="A100" s="98" t="s">
        <v>669</v>
      </c>
      <c r="B100" s="98" t="s">
        <v>143</v>
      </c>
      <c r="C100" s="98" t="s">
        <v>108</v>
      </c>
      <c r="D100" s="111">
        <v>39995</v>
      </c>
      <c r="E100" s="112">
        <v>0.57291666666666663</v>
      </c>
    </row>
    <row r="101" spans="1:5" ht="16" x14ac:dyDescent="0.2">
      <c r="A101" s="98" t="s">
        <v>669</v>
      </c>
      <c r="B101" s="98" t="s">
        <v>144</v>
      </c>
      <c r="C101" s="98" t="s">
        <v>108</v>
      </c>
      <c r="D101" s="111">
        <v>39995</v>
      </c>
      <c r="E101" s="112">
        <v>0.57291666666666663</v>
      </c>
    </row>
    <row r="102" spans="1:5" ht="16" x14ac:dyDescent="0.2">
      <c r="A102" s="98" t="s">
        <v>108</v>
      </c>
      <c r="B102" s="98" t="s">
        <v>145</v>
      </c>
      <c r="C102" s="98" t="s">
        <v>669</v>
      </c>
      <c r="D102" s="111">
        <v>39995</v>
      </c>
      <c r="E102" s="112">
        <v>0.57291666666666663</v>
      </c>
    </row>
    <row r="103" spans="1:5" ht="16" x14ac:dyDescent="0.2">
      <c r="A103" s="98" t="s">
        <v>108</v>
      </c>
      <c r="B103" s="98" t="s">
        <v>146</v>
      </c>
      <c r="C103" s="98" t="s">
        <v>669</v>
      </c>
      <c r="D103" s="111">
        <v>39995</v>
      </c>
      <c r="E103" s="112">
        <v>0.57291666666666663</v>
      </c>
    </row>
    <row r="104" spans="1:5" ht="16" x14ac:dyDescent="0.2">
      <c r="A104" s="98" t="s">
        <v>108</v>
      </c>
      <c r="B104" s="98" t="s">
        <v>105</v>
      </c>
      <c r="C104" s="98" t="s">
        <v>669</v>
      </c>
      <c r="D104" s="111">
        <v>39995</v>
      </c>
      <c r="E104" s="112">
        <v>0.57291666666666663</v>
      </c>
    </row>
    <row r="105" spans="1:5" ht="16" x14ac:dyDescent="0.2">
      <c r="A105" s="98" t="s">
        <v>108</v>
      </c>
      <c r="B105" s="98" t="s">
        <v>147</v>
      </c>
      <c r="C105" s="98" t="s">
        <v>669</v>
      </c>
      <c r="D105" s="111">
        <v>39995</v>
      </c>
      <c r="E105" s="112">
        <v>0.57291666666666663</v>
      </c>
    </row>
    <row r="106" spans="1:5" ht="16" x14ac:dyDescent="0.2">
      <c r="A106" s="108" t="s">
        <v>108</v>
      </c>
      <c r="B106" s="108" t="s">
        <v>148</v>
      </c>
      <c r="C106" s="108" t="s">
        <v>217</v>
      </c>
      <c r="D106" s="109">
        <v>39992</v>
      </c>
      <c r="E106" s="110">
        <v>0.81944444444444453</v>
      </c>
    </row>
    <row r="107" spans="1:5" ht="16" x14ac:dyDescent="0.2">
      <c r="A107" s="108" t="s">
        <v>108</v>
      </c>
      <c r="B107" s="108" t="s">
        <v>149</v>
      </c>
      <c r="C107" s="108" t="s">
        <v>217</v>
      </c>
      <c r="D107" s="109">
        <v>39992</v>
      </c>
      <c r="E107" s="110">
        <v>0.81944444444444453</v>
      </c>
    </row>
    <row r="108" spans="1:5" ht="16" x14ac:dyDescent="0.2">
      <c r="A108" s="108" t="s">
        <v>108</v>
      </c>
      <c r="B108" s="108" t="s">
        <v>615</v>
      </c>
      <c r="C108" s="108" t="s">
        <v>217</v>
      </c>
      <c r="D108" s="109">
        <v>39992</v>
      </c>
      <c r="E108" s="110">
        <v>0.81944444444444453</v>
      </c>
    </row>
    <row r="109" spans="1:5" ht="16" x14ac:dyDescent="0.2">
      <c r="A109" s="108" t="s">
        <v>108</v>
      </c>
      <c r="B109" s="108" t="s">
        <v>150</v>
      </c>
      <c r="C109" s="108" t="s">
        <v>217</v>
      </c>
      <c r="D109" s="109">
        <v>39992</v>
      </c>
      <c r="E109" s="110">
        <v>0.81944444444444453</v>
      </c>
    </row>
    <row r="110" spans="1:5" ht="16" x14ac:dyDescent="0.2">
      <c r="A110" s="108" t="s">
        <v>108</v>
      </c>
      <c r="B110" s="108" t="s">
        <v>151</v>
      </c>
      <c r="C110" s="108" t="s">
        <v>217</v>
      </c>
      <c r="D110" s="109">
        <v>39992</v>
      </c>
      <c r="E110" s="110">
        <v>0.81944444444444453</v>
      </c>
    </row>
    <row r="111" spans="1:5" ht="16" x14ac:dyDescent="0.2">
      <c r="A111" s="108" t="s">
        <v>217</v>
      </c>
      <c r="B111" s="108" t="s">
        <v>352</v>
      </c>
      <c r="C111" s="108" t="s">
        <v>108</v>
      </c>
      <c r="D111" s="109">
        <v>39992</v>
      </c>
      <c r="E111" s="110">
        <v>0.81944444444444453</v>
      </c>
    </row>
    <row r="112" spans="1:5" ht="16" x14ac:dyDescent="0.2">
      <c r="A112" s="108" t="s">
        <v>217</v>
      </c>
      <c r="B112" s="108" t="s">
        <v>152</v>
      </c>
      <c r="C112" s="108" t="s">
        <v>108</v>
      </c>
      <c r="D112" s="109">
        <v>39992</v>
      </c>
      <c r="E112" s="110">
        <v>0.81944444444444453</v>
      </c>
    </row>
    <row r="113" spans="1:5" ht="16" x14ac:dyDescent="0.2">
      <c r="A113" s="108" t="s">
        <v>217</v>
      </c>
      <c r="B113" s="108" t="s">
        <v>345</v>
      </c>
      <c r="C113" s="108" t="s">
        <v>108</v>
      </c>
      <c r="D113" s="109">
        <v>39992</v>
      </c>
      <c r="E113" s="110">
        <v>0.81944444444444453</v>
      </c>
    </row>
    <row r="114" spans="1:5" ht="16" x14ac:dyDescent="0.2">
      <c r="A114" s="108" t="s">
        <v>217</v>
      </c>
      <c r="B114" s="108" t="s">
        <v>105</v>
      </c>
      <c r="C114" s="108" t="s">
        <v>108</v>
      </c>
      <c r="D114" s="109">
        <v>39992</v>
      </c>
      <c r="E114" s="110">
        <v>0.81944444444444453</v>
      </c>
    </row>
    <row r="115" spans="1:5" ht="16" x14ac:dyDescent="0.2">
      <c r="A115" s="108" t="s">
        <v>217</v>
      </c>
      <c r="B115" s="108" t="s">
        <v>153</v>
      </c>
      <c r="C115" s="108" t="s">
        <v>108</v>
      </c>
      <c r="D115" s="109">
        <v>39992</v>
      </c>
      <c r="E115" s="110">
        <v>0.81944444444444453</v>
      </c>
    </row>
    <row r="116" spans="1:5" ht="16" x14ac:dyDescent="0.2">
      <c r="A116" s="98" t="s">
        <v>110</v>
      </c>
      <c r="B116" s="98" t="s">
        <v>154</v>
      </c>
      <c r="C116" s="98" t="s">
        <v>116</v>
      </c>
      <c r="D116" s="111">
        <v>39987</v>
      </c>
      <c r="E116" s="112">
        <v>0.94791666666666663</v>
      </c>
    </row>
    <row r="117" spans="1:5" ht="16" x14ac:dyDescent="0.2">
      <c r="A117" s="98" t="s">
        <v>116</v>
      </c>
      <c r="B117" s="98" t="s">
        <v>155</v>
      </c>
      <c r="C117" s="98" t="s">
        <v>110</v>
      </c>
      <c r="D117" s="111">
        <v>39987</v>
      </c>
      <c r="E117" s="112">
        <v>0.94791666666666663</v>
      </c>
    </row>
    <row r="118" spans="1:5" ht="16" x14ac:dyDescent="0.2">
      <c r="A118" s="108" t="s">
        <v>110</v>
      </c>
      <c r="B118" s="108" t="s">
        <v>156</v>
      </c>
      <c r="C118" s="108" t="s">
        <v>157</v>
      </c>
      <c r="D118" s="109">
        <v>39984</v>
      </c>
      <c r="E118" s="110">
        <v>0.96180555555555547</v>
      </c>
    </row>
    <row r="119" spans="1:5" ht="16" x14ac:dyDescent="0.2">
      <c r="A119" s="108" t="s">
        <v>110</v>
      </c>
      <c r="B119" s="108" t="s">
        <v>158</v>
      </c>
      <c r="C119" s="108" t="s">
        <v>157</v>
      </c>
      <c r="D119" s="109">
        <v>39984</v>
      </c>
      <c r="E119" s="110">
        <v>0.96180555555555547</v>
      </c>
    </row>
    <row r="120" spans="1:5" ht="16" x14ac:dyDescent="0.2">
      <c r="A120" s="108" t="s">
        <v>157</v>
      </c>
      <c r="B120" s="108" t="s">
        <v>159</v>
      </c>
      <c r="C120" s="108" t="s">
        <v>110</v>
      </c>
      <c r="D120" s="109">
        <v>39984</v>
      </c>
      <c r="E120" s="110">
        <v>0.96180555555555547</v>
      </c>
    </row>
    <row r="121" spans="1:5" ht="16" x14ac:dyDescent="0.2">
      <c r="A121" s="108" t="s">
        <v>157</v>
      </c>
      <c r="B121" s="108" t="s">
        <v>160</v>
      </c>
      <c r="C121" s="108" t="s">
        <v>110</v>
      </c>
      <c r="D121" s="109">
        <v>39984</v>
      </c>
      <c r="E121" s="110">
        <v>0.96180555555555547</v>
      </c>
    </row>
    <row r="122" spans="1:5" ht="16" x14ac:dyDescent="0.2">
      <c r="A122" s="98" t="s">
        <v>110</v>
      </c>
      <c r="B122" s="98" t="s">
        <v>161</v>
      </c>
      <c r="C122" s="98" t="s">
        <v>162</v>
      </c>
      <c r="D122" s="111">
        <v>39961</v>
      </c>
      <c r="E122" s="112">
        <v>0.80208333333333337</v>
      </c>
    </row>
    <row r="123" spans="1:5" ht="16" x14ac:dyDescent="0.2">
      <c r="A123" s="98" t="s">
        <v>162</v>
      </c>
      <c r="B123" s="98" t="s">
        <v>163</v>
      </c>
      <c r="C123" s="98" t="s">
        <v>110</v>
      </c>
      <c r="D123" s="111">
        <v>39961</v>
      </c>
      <c r="E123" s="112">
        <v>0.80208333333333337</v>
      </c>
    </row>
  </sheetData>
  <mergeCells count="2">
    <mergeCell ref="E2:F2"/>
    <mergeCell ref="H2:I2"/>
  </mergeCells>
  <phoneticPr fontId="16"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21"/>
  <sheetViews>
    <sheetView workbookViewId="0">
      <selection sqref="A1:XFD1"/>
    </sheetView>
  </sheetViews>
  <sheetFormatPr baseColWidth="10" defaultRowHeight="13" x14ac:dyDescent="0.15"/>
  <cols>
    <col min="1" max="2" width="18.33203125" customWidth="1"/>
    <col min="3" max="3" width="12.33203125" customWidth="1"/>
    <col min="4" max="4" width="14.83203125" customWidth="1"/>
    <col min="5" max="5" width="17" customWidth="1"/>
  </cols>
  <sheetData>
    <row r="1" spans="1:5" s="105" customFormat="1" ht="18" x14ac:dyDescent="0.2">
      <c r="A1" s="105" t="s">
        <v>787</v>
      </c>
      <c r="B1" s="105" t="s">
        <v>30</v>
      </c>
      <c r="C1" s="105" t="s">
        <v>651</v>
      </c>
      <c r="D1" s="105" t="s">
        <v>176</v>
      </c>
      <c r="E1" s="105" t="s">
        <v>177</v>
      </c>
    </row>
    <row r="2" spans="1:5" x14ac:dyDescent="0.15">
      <c r="A2" t="s">
        <v>167</v>
      </c>
      <c r="B2" s="3" t="s">
        <v>178</v>
      </c>
      <c r="C2" s="2">
        <v>8820</v>
      </c>
      <c r="D2">
        <v>2.7</v>
      </c>
      <c r="E2">
        <v>14.6</v>
      </c>
    </row>
    <row r="3" spans="1:5" x14ac:dyDescent="0.15">
      <c r="A3" t="s">
        <v>168</v>
      </c>
      <c r="B3" s="3" t="s">
        <v>179</v>
      </c>
      <c r="C3" s="2">
        <v>8275</v>
      </c>
      <c r="D3">
        <v>2.7</v>
      </c>
      <c r="E3">
        <v>12.8</v>
      </c>
    </row>
    <row r="4" spans="1:5" x14ac:dyDescent="0.15">
      <c r="A4" t="s">
        <v>169</v>
      </c>
      <c r="B4" s="3" t="s">
        <v>180</v>
      </c>
      <c r="C4" s="2">
        <v>8045</v>
      </c>
      <c r="D4">
        <v>2.5</v>
      </c>
      <c r="E4">
        <v>13</v>
      </c>
    </row>
    <row r="5" spans="1:5" x14ac:dyDescent="0.15">
      <c r="A5" t="s">
        <v>170</v>
      </c>
      <c r="B5" s="3" t="s">
        <v>21</v>
      </c>
      <c r="C5" s="2">
        <v>8006</v>
      </c>
      <c r="D5">
        <v>2.8</v>
      </c>
      <c r="E5">
        <v>11.7</v>
      </c>
    </row>
    <row r="6" spans="1:5" x14ac:dyDescent="0.15">
      <c r="A6" t="s">
        <v>171</v>
      </c>
      <c r="B6" s="3" t="s">
        <v>22</v>
      </c>
      <c r="C6" s="2">
        <v>7728</v>
      </c>
      <c r="D6">
        <v>2.4</v>
      </c>
      <c r="E6">
        <v>13.2</v>
      </c>
    </row>
    <row r="7" spans="1:5" x14ac:dyDescent="0.15">
      <c r="A7" t="s">
        <v>604</v>
      </c>
      <c r="B7" s="3" t="s">
        <v>23</v>
      </c>
      <c r="C7" s="2">
        <v>7700</v>
      </c>
      <c r="D7">
        <v>2.6</v>
      </c>
      <c r="E7">
        <v>11.3</v>
      </c>
    </row>
    <row r="8" spans="1:5" x14ac:dyDescent="0.15">
      <c r="A8" t="s">
        <v>172</v>
      </c>
      <c r="B8" s="3" t="s">
        <v>24</v>
      </c>
      <c r="C8" s="2">
        <v>7595</v>
      </c>
      <c r="D8">
        <v>2.5</v>
      </c>
      <c r="E8">
        <v>11.7</v>
      </c>
    </row>
    <row r="9" spans="1:5" x14ac:dyDescent="0.15">
      <c r="A9" t="s">
        <v>173</v>
      </c>
      <c r="B9" s="3" t="s">
        <v>25</v>
      </c>
      <c r="C9" s="2">
        <v>7531</v>
      </c>
      <c r="D9">
        <v>2.2999999999999998</v>
      </c>
      <c r="E9">
        <v>12.6</v>
      </c>
    </row>
    <row r="10" spans="1:5" x14ac:dyDescent="0.15">
      <c r="A10" t="s">
        <v>174</v>
      </c>
      <c r="B10" s="3" t="s">
        <v>26</v>
      </c>
      <c r="C10" s="2">
        <v>7523</v>
      </c>
      <c r="D10">
        <v>2.4</v>
      </c>
      <c r="E10">
        <v>12.2</v>
      </c>
    </row>
    <row r="11" spans="1:5" x14ac:dyDescent="0.15">
      <c r="A11" t="s">
        <v>731</v>
      </c>
      <c r="B11" s="3" t="s">
        <v>27</v>
      </c>
      <c r="C11" s="2">
        <v>7467</v>
      </c>
      <c r="D11">
        <v>2.6</v>
      </c>
      <c r="E11">
        <v>11.1</v>
      </c>
    </row>
    <row r="12" spans="1:5" x14ac:dyDescent="0.15">
      <c r="A12" t="s">
        <v>729</v>
      </c>
      <c r="B12" s="3" t="s">
        <v>28</v>
      </c>
      <c r="C12" s="2">
        <v>7174</v>
      </c>
      <c r="D12">
        <v>2.2000000000000002</v>
      </c>
      <c r="E12">
        <v>12.1</v>
      </c>
    </row>
    <row r="13" spans="1:5" x14ac:dyDescent="0.15">
      <c r="A13" t="s">
        <v>175</v>
      </c>
      <c r="B13" s="3" t="s">
        <v>29</v>
      </c>
      <c r="C13" s="2">
        <v>6908</v>
      </c>
      <c r="D13">
        <v>2.2000000000000002</v>
      </c>
      <c r="E13">
        <v>11.1</v>
      </c>
    </row>
    <row r="15" spans="1:5" ht="16" x14ac:dyDescent="0.2">
      <c r="A15" s="117" t="s">
        <v>94</v>
      </c>
    </row>
    <row r="16" spans="1:5" x14ac:dyDescent="0.15">
      <c r="A16" t="s">
        <v>0</v>
      </c>
    </row>
    <row r="18" spans="1:16" ht="20" x14ac:dyDescent="0.2">
      <c r="A18" s="118" t="s">
        <v>10</v>
      </c>
    </row>
    <row r="19" spans="1:16" x14ac:dyDescent="0.15">
      <c r="A19" t="s">
        <v>787</v>
      </c>
      <c r="B19" t="s">
        <v>660</v>
      </c>
      <c r="C19" t="s">
        <v>661</v>
      </c>
      <c r="D19" t="s">
        <v>1</v>
      </c>
      <c r="E19" t="s">
        <v>2</v>
      </c>
      <c r="F19" t="s">
        <v>565</v>
      </c>
      <c r="G19" t="s">
        <v>694</v>
      </c>
      <c r="H19" t="s">
        <v>3</v>
      </c>
      <c r="I19" t="s">
        <v>4</v>
      </c>
      <c r="J19" t="s">
        <v>5</v>
      </c>
      <c r="K19" t="s">
        <v>684</v>
      </c>
      <c r="L19" t="s">
        <v>6</v>
      </c>
      <c r="M19" t="s">
        <v>7</v>
      </c>
      <c r="N19" t="s">
        <v>482</v>
      </c>
      <c r="O19" t="s">
        <v>8</v>
      </c>
      <c r="P19" t="s">
        <v>9</v>
      </c>
    </row>
    <row r="20" spans="1:16" x14ac:dyDescent="0.15">
      <c r="A20" t="s">
        <v>167</v>
      </c>
      <c r="B20">
        <v>1601</v>
      </c>
      <c r="C20">
        <v>6088</v>
      </c>
      <c r="D20">
        <v>0.27800000000000002</v>
      </c>
      <c r="E20">
        <v>1693</v>
      </c>
      <c r="F20">
        <v>324</v>
      </c>
      <c r="G20">
        <v>40</v>
      </c>
      <c r="H20">
        <v>228</v>
      </c>
      <c r="I20">
        <v>862</v>
      </c>
      <c r="J20">
        <v>671</v>
      </c>
      <c r="K20">
        <v>982</v>
      </c>
      <c r="L20">
        <v>141</v>
      </c>
      <c r="M20">
        <v>1170</v>
      </c>
      <c r="N20">
        <v>83</v>
      </c>
      <c r="O20">
        <v>2.75</v>
      </c>
      <c r="P20">
        <v>4402</v>
      </c>
    </row>
    <row r="21" spans="1:16" x14ac:dyDescent="0.15">
      <c r="A21" t="s">
        <v>168</v>
      </c>
      <c r="B21">
        <v>1614</v>
      </c>
      <c r="C21">
        <v>6140</v>
      </c>
      <c r="D21">
        <v>0.28199999999999997</v>
      </c>
      <c r="E21">
        <v>1734</v>
      </c>
      <c r="F21">
        <v>356</v>
      </c>
      <c r="G21">
        <v>29</v>
      </c>
      <c r="H21">
        <v>218</v>
      </c>
      <c r="I21">
        <v>894</v>
      </c>
      <c r="J21">
        <v>652</v>
      </c>
      <c r="K21">
        <v>881</v>
      </c>
      <c r="L21">
        <v>82</v>
      </c>
      <c r="M21">
        <v>988</v>
      </c>
      <c r="N21">
        <v>83</v>
      </c>
      <c r="O21">
        <v>2.74</v>
      </c>
      <c r="P21">
        <v>4416</v>
      </c>
    </row>
    <row r="22" spans="1:16" x14ac:dyDescent="0.15">
      <c r="A22" t="s">
        <v>169</v>
      </c>
      <c r="B22">
        <v>1620</v>
      </c>
      <c r="C22">
        <v>6056</v>
      </c>
      <c r="D22">
        <v>0.26800000000000002</v>
      </c>
      <c r="E22">
        <v>1620</v>
      </c>
      <c r="F22">
        <v>303</v>
      </c>
      <c r="G22">
        <v>27</v>
      </c>
      <c r="H22">
        <v>171</v>
      </c>
      <c r="I22">
        <v>742</v>
      </c>
      <c r="J22">
        <v>625</v>
      </c>
      <c r="K22">
        <v>853</v>
      </c>
      <c r="L22">
        <v>210</v>
      </c>
      <c r="M22">
        <v>1034</v>
      </c>
      <c r="N22">
        <v>89</v>
      </c>
      <c r="O22">
        <v>2.54</v>
      </c>
      <c r="P22">
        <v>4121</v>
      </c>
    </row>
    <row r="23" spans="1:16" x14ac:dyDescent="0.15">
      <c r="A23" t="s">
        <v>170</v>
      </c>
      <c r="B23">
        <v>1619</v>
      </c>
      <c r="C23">
        <v>6020</v>
      </c>
      <c r="D23">
        <v>0.28199999999999997</v>
      </c>
      <c r="E23">
        <v>1698</v>
      </c>
      <c r="F23">
        <v>353</v>
      </c>
      <c r="G23">
        <v>31</v>
      </c>
      <c r="H23">
        <v>255</v>
      </c>
      <c r="I23">
        <v>929</v>
      </c>
      <c r="J23">
        <v>731</v>
      </c>
      <c r="K23">
        <v>942</v>
      </c>
      <c r="L23">
        <v>116</v>
      </c>
      <c r="M23">
        <v>1230</v>
      </c>
      <c r="N23">
        <v>89</v>
      </c>
      <c r="O23">
        <v>2.76</v>
      </c>
      <c r="P23">
        <v>4468</v>
      </c>
    </row>
    <row r="24" spans="1:16" x14ac:dyDescent="0.15">
      <c r="A24" t="s">
        <v>171</v>
      </c>
      <c r="B24">
        <v>1583</v>
      </c>
      <c r="C24">
        <v>5946</v>
      </c>
      <c r="D24">
        <v>0.26800000000000002</v>
      </c>
      <c r="E24">
        <v>1593</v>
      </c>
      <c r="F24">
        <v>340</v>
      </c>
      <c r="G24">
        <v>30</v>
      </c>
      <c r="H24">
        <v>165</v>
      </c>
      <c r="I24">
        <v>702</v>
      </c>
      <c r="J24">
        <v>543</v>
      </c>
      <c r="K24">
        <v>784</v>
      </c>
      <c r="L24">
        <v>86</v>
      </c>
      <c r="M24">
        <v>974</v>
      </c>
      <c r="N24">
        <v>84</v>
      </c>
      <c r="O24">
        <v>2.36</v>
      </c>
      <c r="P24">
        <v>3733</v>
      </c>
    </row>
    <row r="25" spans="1:16" x14ac:dyDescent="0.15">
      <c r="A25" t="s">
        <v>604</v>
      </c>
      <c r="B25">
        <v>1620</v>
      </c>
      <c r="C25">
        <v>6170</v>
      </c>
      <c r="D25">
        <v>0.28299999999999997</v>
      </c>
      <c r="E25">
        <v>1744</v>
      </c>
      <c r="F25">
        <v>354</v>
      </c>
      <c r="G25">
        <v>33</v>
      </c>
      <c r="H25">
        <v>203</v>
      </c>
      <c r="I25">
        <v>869</v>
      </c>
      <c r="J25">
        <v>581</v>
      </c>
      <c r="K25">
        <v>840</v>
      </c>
      <c r="L25">
        <v>132</v>
      </c>
      <c r="M25">
        <v>1051</v>
      </c>
      <c r="N25">
        <v>98</v>
      </c>
      <c r="O25">
        <v>2.64</v>
      </c>
      <c r="P25">
        <v>4276</v>
      </c>
    </row>
    <row r="26" spans="1:16" x14ac:dyDescent="0.15">
      <c r="A26" t="s">
        <v>172</v>
      </c>
      <c r="B26">
        <v>1608</v>
      </c>
      <c r="C26">
        <v>5987</v>
      </c>
      <c r="D26">
        <v>0.27900000000000003</v>
      </c>
      <c r="E26">
        <v>1671</v>
      </c>
      <c r="F26">
        <v>374</v>
      </c>
      <c r="G26">
        <v>39</v>
      </c>
      <c r="H26">
        <v>222</v>
      </c>
      <c r="I26">
        <v>877</v>
      </c>
      <c r="J26">
        <v>626</v>
      </c>
      <c r="K26">
        <v>813</v>
      </c>
      <c r="L26">
        <v>78</v>
      </c>
      <c r="M26">
        <v>1167</v>
      </c>
      <c r="N26">
        <v>97</v>
      </c>
      <c r="O26">
        <v>2.5299999999999998</v>
      </c>
      <c r="P26">
        <v>4074</v>
      </c>
    </row>
    <row r="27" spans="1:16" x14ac:dyDescent="0.15">
      <c r="A27" t="s">
        <v>173</v>
      </c>
      <c r="B27">
        <v>1620</v>
      </c>
      <c r="C27">
        <v>5854</v>
      </c>
      <c r="D27">
        <v>0.26800000000000002</v>
      </c>
      <c r="E27">
        <v>1568</v>
      </c>
      <c r="F27">
        <v>320</v>
      </c>
      <c r="G27">
        <v>15</v>
      </c>
      <c r="H27">
        <v>175</v>
      </c>
      <c r="I27">
        <v>770</v>
      </c>
      <c r="J27">
        <v>648</v>
      </c>
      <c r="K27">
        <v>771</v>
      </c>
      <c r="L27">
        <v>101</v>
      </c>
      <c r="M27">
        <v>1075</v>
      </c>
      <c r="N27">
        <v>107</v>
      </c>
      <c r="O27">
        <v>2.3199999999999998</v>
      </c>
      <c r="P27">
        <v>3755</v>
      </c>
    </row>
    <row r="28" spans="1:16" x14ac:dyDescent="0.15">
      <c r="A28" t="s">
        <v>174</v>
      </c>
      <c r="B28">
        <v>1597</v>
      </c>
      <c r="C28">
        <v>5816</v>
      </c>
      <c r="D28">
        <v>0.26600000000000001</v>
      </c>
      <c r="E28">
        <v>1547</v>
      </c>
      <c r="F28">
        <v>354</v>
      </c>
      <c r="G28">
        <v>34</v>
      </c>
      <c r="H28">
        <v>212</v>
      </c>
      <c r="I28">
        <v>833</v>
      </c>
      <c r="J28">
        <v>650</v>
      </c>
      <c r="K28">
        <v>840</v>
      </c>
      <c r="L28">
        <v>121</v>
      </c>
      <c r="M28">
        <v>1315</v>
      </c>
      <c r="N28">
        <v>85</v>
      </c>
      <c r="O28">
        <v>2.41</v>
      </c>
      <c r="P28">
        <v>3853</v>
      </c>
    </row>
    <row r="29" spans="1:16" x14ac:dyDescent="0.15">
      <c r="A29" t="s">
        <v>731</v>
      </c>
      <c r="B29">
        <v>1598</v>
      </c>
      <c r="C29">
        <v>5862</v>
      </c>
      <c r="D29">
        <v>0.27200000000000002</v>
      </c>
      <c r="E29">
        <v>1593</v>
      </c>
      <c r="F29">
        <v>311</v>
      </c>
      <c r="G29">
        <v>35</v>
      </c>
      <c r="H29">
        <v>200</v>
      </c>
      <c r="I29">
        <v>768</v>
      </c>
      <c r="J29">
        <v>717</v>
      </c>
      <c r="K29">
        <v>891</v>
      </c>
      <c r="L29">
        <v>142</v>
      </c>
      <c r="M29">
        <v>1139</v>
      </c>
      <c r="N29">
        <v>84</v>
      </c>
      <c r="O29">
        <v>2.58</v>
      </c>
      <c r="P29">
        <v>4123</v>
      </c>
    </row>
    <row r="30" spans="1:16" x14ac:dyDescent="0.15">
      <c r="A30" t="s">
        <v>729</v>
      </c>
      <c r="B30">
        <v>1597</v>
      </c>
      <c r="C30">
        <v>5924</v>
      </c>
      <c r="D30">
        <v>0.25600000000000001</v>
      </c>
      <c r="E30">
        <v>1516</v>
      </c>
      <c r="F30">
        <v>308</v>
      </c>
      <c r="G30">
        <v>31</v>
      </c>
      <c r="H30">
        <v>185</v>
      </c>
      <c r="I30">
        <v>715</v>
      </c>
      <c r="J30">
        <v>562</v>
      </c>
      <c r="K30">
        <v>792</v>
      </c>
      <c r="L30">
        <v>135</v>
      </c>
      <c r="M30">
        <v>1250</v>
      </c>
      <c r="N30">
        <v>110</v>
      </c>
      <c r="O30">
        <v>2.2000000000000002</v>
      </c>
      <c r="P30">
        <v>3513</v>
      </c>
    </row>
    <row r="31" spans="1:16" x14ac:dyDescent="0.15">
      <c r="A31" t="s">
        <v>175</v>
      </c>
      <c r="B31">
        <v>1599</v>
      </c>
      <c r="C31">
        <v>5892</v>
      </c>
      <c r="D31">
        <v>0.255</v>
      </c>
      <c r="E31">
        <v>1501</v>
      </c>
      <c r="F31">
        <v>290</v>
      </c>
      <c r="G31">
        <v>33</v>
      </c>
      <c r="H31">
        <v>193</v>
      </c>
      <c r="I31">
        <v>781</v>
      </c>
      <c r="J31">
        <v>617</v>
      </c>
      <c r="K31">
        <v>791</v>
      </c>
      <c r="L31">
        <v>100</v>
      </c>
      <c r="M31">
        <v>1248</v>
      </c>
      <c r="N31">
        <v>125</v>
      </c>
      <c r="O31">
        <v>2.23</v>
      </c>
      <c r="P31">
        <v>3570</v>
      </c>
    </row>
    <row r="33" spans="1:15" ht="20" x14ac:dyDescent="0.2">
      <c r="A33" s="119" t="s">
        <v>11</v>
      </c>
    </row>
    <row r="34" spans="1:15" x14ac:dyDescent="0.15">
      <c r="A34" t="s">
        <v>787</v>
      </c>
      <c r="B34" t="s">
        <v>12</v>
      </c>
      <c r="C34" t="s">
        <v>13</v>
      </c>
      <c r="D34" t="s">
        <v>666</v>
      </c>
      <c r="E34" t="s">
        <v>14</v>
      </c>
      <c r="F34" t="s">
        <v>15</v>
      </c>
      <c r="G34" t="s">
        <v>688</v>
      </c>
      <c r="H34" t="s">
        <v>16</v>
      </c>
      <c r="I34" t="s">
        <v>17</v>
      </c>
      <c r="J34" t="s">
        <v>18</v>
      </c>
      <c r="K34" t="s">
        <v>5</v>
      </c>
      <c r="L34" t="s">
        <v>7</v>
      </c>
      <c r="M34" t="s">
        <v>2</v>
      </c>
      <c r="N34" t="s">
        <v>19</v>
      </c>
      <c r="O34" t="s">
        <v>20</v>
      </c>
    </row>
    <row r="35" spans="1:15" x14ac:dyDescent="0.15">
      <c r="A35" t="s">
        <v>167</v>
      </c>
      <c r="B35">
        <v>162</v>
      </c>
      <c r="C35">
        <v>140</v>
      </c>
      <c r="D35" s="120">
        <v>1198</v>
      </c>
      <c r="E35">
        <v>91</v>
      </c>
      <c r="F35">
        <v>49</v>
      </c>
      <c r="G35">
        <v>89</v>
      </c>
      <c r="H35">
        <v>11</v>
      </c>
      <c r="I35">
        <v>394</v>
      </c>
      <c r="J35">
        <v>2.96</v>
      </c>
      <c r="K35">
        <v>362</v>
      </c>
      <c r="L35">
        <v>1053</v>
      </c>
      <c r="M35">
        <v>1051</v>
      </c>
      <c r="N35">
        <v>14.63</v>
      </c>
      <c r="O35">
        <v>4418</v>
      </c>
    </row>
    <row r="36" spans="1:15" x14ac:dyDescent="0.15">
      <c r="A36" t="s">
        <v>168</v>
      </c>
      <c r="B36">
        <v>162</v>
      </c>
      <c r="C36">
        <v>140</v>
      </c>
      <c r="D36" s="120">
        <v>1128.2</v>
      </c>
      <c r="E36">
        <v>82</v>
      </c>
      <c r="F36">
        <v>57</v>
      </c>
      <c r="G36">
        <v>82</v>
      </c>
      <c r="H36">
        <v>7</v>
      </c>
      <c r="I36">
        <v>463</v>
      </c>
      <c r="J36">
        <v>3.69</v>
      </c>
      <c r="K36">
        <v>388</v>
      </c>
      <c r="L36">
        <v>1059</v>
      </c>
      <c r="M36">
        <v>1024</v>
      </c>
      <c r="N36">
        <v>12.78</v>
      </c>
      <c r="O36">
        <v>3859</v>
      </c>
    </row>
    <row r="37" spans="1:15" x14ac:dyDescent="0.15">
      <c r="A37" t="s">
        <v>169</v>
      </c>
      <c r="B37">
        <v>162</v>
      </c>
      <c r="C37">
        <v>140</v>
      </c>
      <c r="D37" s="120">
        <v>1232.2</v>
      </c>
      <c r="E37">
        <v>80</v>
      </c>
      <c r="F37">
        <v>62</v>
      </c>
      <c r="G37">
        <v>65</v>
      </c>
      <c r="H37">
        <v>15</v>
      </c>
      <c r="I37">
        <v>432</v>
      </c>
      <c r="J37">
        <v>3.15</v>
      </c>
      <c r="K37">
        <v>346</v>
      </c>
      <c r="L37">
        <v>1024</v>
      </c>
      <c r="M37">
        <v>1091</v>
      </c>
      <c r="N37">
        <v>12.99</v>
      </c>
      <c r="O37">
        <v>3924</v>
      </c>
    </row>
    <row r="38" spans="1:15" x14ac:dyDescent="0.15">
      <c r="A38" t="s">
        <v>170</v>
      </c>
      <c r="B38">
        <v>162</v>
      </c>
      <c r="C38">
        <v>140</v>
      </c>
      <c r="D38" s="120">
        <v>1160</v>
      </c>
      <c r="E38">
        <v>78</v>
      </c>
      <c r="F38">
        <v>60</v>
      </c>
      <c r="G38">
        <v>67</v>
      </c>
      <c r="H38">
        <v>17</v>
      </c>
      <c r="I38">
        <v>454</v>
      </c>
      <c r="J38">
        <v>3.52</v>
      </c>
      <c r="K38">
        <v>356</v>
      </c>
      <c r="L38">
        <v>954</v>
      </c>
      <c r="M38">
        <v>1106</v>
      </c>
      <c r="N38">
        <v>11.72</v>
      </c>
      <c r="O38">
        <v>3538</v>
      </c>
    </row>
    <row r="39" spans="1:15" x14ac:dyDescent="0.15">
      <c r="A39" t="s">
        <v>171</v>
      </c>
      <c r="B39">
        <v>162</v>
      </c>
      <c r="C39">
        <v>140</v>
      </c>
      <c r="D39" s="120">
        <v>1190.2</v>
      </c>
      <c r="E39">
        <v>86</v>
      </c>
      <c r="F39">
        <v>54</v>
      </c>
      <c r="G39">
        <v>76</v>
      </c>
      <c r="H39">
        <v>8</v>
      </c>
      <c r="I39">
        <v>491</v>
      </c>
      <c r="J39">
        <v>3.71</v>
      </c>
      <c r="K39">
        <v>426</v>
      </c>
      <c r="L39">
        <v>1115</v>
      </c>
      <c r="M39">
        <v>1047</v>
      </c>
      <c r="N39">
        <v>13.23</v>
      </c>
      <c r="O39">
        <v>3995</v>
      </c>
    </row>
    <row r="40" spans="1:15" x14ac:dyDescent="0.15">
      <c r="A40" t="s">
        <v>604</v>
      </c>
      <c r="B40">
        <v>162</v>
      </c>
      <c r="C40">
        <v>140</v>
      </c>
      <c r="D40" s="120">
        <v>1152.0999999999999</v>
      </c>
      <c r="E40">
        <v>72</v>
      </c>
      <c r="F40">
        <v>64</v>
      </c>
      <c r="G40">
        <v>63</v>
      </c>
      <c r="H40">
        <v>17</v>
      </c>
      <c r="I40">
        <v>439</v>
      </c>
      <c r="J40">
        <v>3.43</v>
      </c>
      <c r="K40">
        <v>321</v>
      </c>
      <c r="L40">
        <v>999</v>
      </c>
      <c r="M40">
        <v>1145</v>
      </c>
      <c r="N40">
        <v>11.34</v>
      </c>
      <c r="O40">
        <v>3424</v>
      </c>
    </row>
    <row r="41" spans="1:15" x14ac:dyDescent="0.15">
      <c r="A41" t="s">
        <v>172</v>
      </c>
      <c r="B41">
        <v>162</v>
      </c>
      <c r="C41">
        <v>140</v>
      </c>
      <c r="D41" s="120">
        <v>1185</v>
      </c>
      <c r="E41">
        <v>82</v>
      </c>
      <c r="F41">
        <v>63</v>
      </c>
      <c r="G41">
        <v>57</v>
      </c>
      <c r="H41">
        <v>17</v>
      </c>
      <c r="I41">
        <v>489</v>
      </c>
      <c r="J41">
        <v>3.71</v>
      </c>
      <c r="K41">
        <v>440</v>
      </c>
      <c r="L41">
        <v>1014</v>
      </c>
      <c r="M41">
        <v>1121</v>
      </c>
      <c r="N41">
        <v>11.66</v>
      </c>
      <c r="O41">
        <v>3521</v>
      </c>
    </row>
    <row r="42" spans="1:15" x14ac:dyDescent="0.15">
      <c r="A42" t="s">
        <v>173</v>
      </c>
      <c r="B42">
        <v>162</v>
      </c>
      <c r="C42">
        <v>137</v>
      </c>
      <c r="D42" s="120">
        <v>1170.2</v>
      </c>
      <c r="E42">
        <v>81</v>
      </c>
      <c r="F42">
        <v>53</v>
      </c>
      <c r="G42">
        <v>72</v>
      </c>
      <c r="H42">
        <v>8</v>
      </c>
      <c r="I42">
        <v>468</v>
      </c>
      <c r="J42">
        <v>3.6</v>
      </c>
      <c r="K42">
        <v>390</v>
      </c>
      <c r="L42">
        <v>957</v>
      </c>
      <c r="M42">
        <v>1085</v>
      </c>
      <c r="N42">
        <v>12.63</v>
      </c>
      <c r="O42">
        <v>3776</v>
      </c>
    </row>
    <row r="43" spans="1:15" x14ac:dyDescent="0.15">
      <c r="A43" t="s">
        <v>174</v>
      </c>
      <c r="B43">
        <v>162</v>
      </c>
      <c r="C43">
        <v>140</v>
      </c>
      <c r="D43" s="120">
        <v>1147.2</v>
      </c>
      <c r="E43">
        <v>80</v>
      </c>
      <c r="F43">
        <v>57</v>
      </c>
      <c r="G43">
        <v>67</v>
      </c>
      <c r="H43">
        <v>11</v>
      </c>
      <c r="I43">
        <v>468</v>
      </c>
      <c r="J43">
        <v>3.67</v>
      </c>
      <c r="K43">
        <v>389</v>
      </c>
      <c r="L43">
        <v>1022</v>
      </c>
      <c r="M43">
        <v>1061</v>
      </c>
      <c r="N43">
        <v>12.15</v>
      </c>
      <c r="O43">
        <v>3670</v>
      </c>
    </row>
    <row r="44" spans="1:15" x14ac:dyDescent="0.15">
      <c r="A44" t="s">
        <v>731</v>
      </c>
      <c r="B44">
        <v>162</v>
      </c>
      <c r="C44">
        <v>140</v>
      </c>
      <c r="D44" s="120">
        <v>1151.2</v>
      </c>
      <c r="E44">
        <v>64</v>
      </c>
      <c r="F44">
        <v>71</v>
      </c>
      <c r="G44">
        <v>71</v>
      </c>
      <c r="H44">
        <v>12</v>
      </c>
      <c r="I44">
        <v>502</v>
      </c>
      <c r="J44">
        <v>3.92</v>
      </c>
      <c r="K44">
        <v>362</v>
      </c>
      <c r="L44">
        <v>981</v>
      </c>
      <c r="M44">
        <v>1121</v>
      </c>
      <c r="N44">
        <v>11.07</v>
      </c>
      <c r="O44">
        <v>3344</v>
      </c>
    </row>
    <row r="45" spans="1:15" x14ac:dyDescent="0.15">
      <c r="A45" t="s">
        <v>729</v>
      </c>
      <c r="B45">
        <v>162</v>
      </c>
      <c r="C45">
        <v>140</v>
      </c>
      <c r="D45" s="120">
        <v>1172.0999999999999</v>
      </c>
      <c r="E45">
        <v>75</v>
      </c>
      <c r="F45">
        <v>62</v>
      </c>
      <c r="G45">
        <v>63</v>
      </c>
      <c r="H45">
        <v>11</v>
      </c>
      <c r="I45">
        <v>460</v>
      </c>
      <c r="J45">
        <v>3.53</v>
      </c>
      <c r="K45">
        <v>334</v>
      </c>
      <c r="L45">
        <v>970</v>
      </c>
      <c r="M45">
        <v>1072</v>
      </c>
      <c r="N45">
        <v>12.12</v>
      </c>
      <c r="O45">
        <v>3661</v>
      </c>
    </row>
    <row r="46" spans="1:15" x14ac:dyDescent="0.15">
      <c r="A46" t="s">
        <v>175</v>
      </c>
      <c r="B46">
        <v>162</v>
      </c>
      <c r="C46">
        <v>140</v>
      </c>
      <c r="D46" s="120">
        <v>1135.0999999999999</v>
      </c>
      <c r="E46">
        <v>67</v>
      </c>
      <c r="F46">
        <v>72</v>
      </c>
      <c r="G46">
        <v>76</v>
      </c>
      <c r="H46">
        <v>18</v>
      </c>
      <c r="I46">
        <v>500</v>
      </c>
      <c r="J46">
        <v>3.96</v>
      </c>
      <c r="K46">
        <v>343</v>
      </c>
      <c r="L46">
        <v>878</v>
      </c>
      <c r="M46">
        <v>1112</v>
      </c>
      <c r="N46">
        <v>11.05</v>
      </c>
      <c r="O46">
        <v>3338</v>
      </c>
    </row>
    <row r="49" spans="1:4" ht="20" x14ac:dyDescent="0.2">
      <c r="A49" s="114" t="s">
        <v>93</v>
      </c>
    </row>
    <row r="50" spans="1:4" x14ac:dyDescent="0.15">
      <c r="A50" t="s">
        <v>446</v>
      </c>
      <c r="B50" t="s">
        <v>447</v>
      </c>
      <c r="C50" t="s">
        <v>448</v>
      </c>
      <c r="D50" t="s">
        <v>449</v>
      </c>
    </row>
    <row r="51" spans="1:4" x14ac:dyDescent="0.15">
      <c r="A51" s="115">
        <v>38939</v>
      </c>
      <c r="B51" s="116" t="s">
        <v>31</v>
      </c>
      <c r="C51" s="116" t="s">
        <v>286</v>
      </c>
      <c r="D51" s="116" t="s">
        <v>688</v>
      </c>
    </row>
    <row r="52" spans="1:4" x14ac:dyDescent="0.15">
      <c r="A52" s="115">
        <v>38939</v>
      </c>
      <c r="B52" s="116" t="s">
        <v>31</v>
      </c>
      <c r="C52" s="116" t="s">
        <v>32</v>
      </c>
      <c r="D52" s="116" t="s">
        <v>691</v>
      </c>
    </row>
    <row r="53" spans="1:4" x14ac:dyDescent="0.15">
      <c r="A53" s="115">
        <v>38939</v>
      </c>
      <c r="B53" s="116" t="s">
        <v>682</v>
      </c>
      <c r="C53" s="116" t="s">
        <v>33</v>
      </c>
      <c r="D53" s="116" t="s">
        <v>688</v>
      </c>
    </row>
    <row r="54" spans="1:4" x14ac:dyDescent="0.15">
      <c r="A54" s="115">
        <v>38939</v>
      </c>
      <c r="B54" s="116" t="s">
        <v>682</v>
      </c>
      <c r="C54" s="116" t="s">
        <v>34</v>
      </c>
      <c r="D54" s="116" t="s">
        <v>691</v>
      </c>
    </row>
    <row r="55" spans="1:4" x14ac:dyDescent="0.15">
      <c r="A55" s="113">
        <v>38930</v>
      </c>
      <c r="B55" t="s">
        <v>35</v>
      </c>
      <c r="C55" t="s">
        <v>496</v>
      </c>
      <c r="D55" t="s">
        <v>688</v>
      </c>
    </row>
    <row r="56" spans="1:4" x14ac:dyDescent="0.15">
      <c r="A56" s="113">
        <v>38930</v>
      </c>
      <c r="B56" t="s">
        <v>35</v>
      </c>
      <c r="C56" t="s">
        <v>36</v>
      </c>
      <c r="D56" t="s">
        <v>691</v>
      </c>
    </row>
    <row r="57" spans="1:4" x14ac:dyDescent="0.15">
      <c r="A57" s="113">
        <v>38930</v>
      </c>
      <c r="B57" t="s">
        <v>554</v>
      </c>
      <c r="C57" t="s">
        <v>37</v>
      </c>
      <c r="D57" t="s">
        <v>688</v>
      </c>
    </row>
    <row r="58" spans="1:4" x14ac:dyDescent="0.15">
      <c r="A58" s="113">
        <v>38930</v>
      </c>
      <c r="B58" t="s">
        <v>554</v>
      </c>
      <c r="C58" t="s">
        <v>421</v>
      </c>
      <c r="D58" t="s">
        <v>519</v>
      </c>
    </row>
    <row r="59" spans="1:4" x14ac:dyDescent="0.15">
      <c r="A59" s="115">
        <v>38910</v>
      </c>
      <c r="B59" s="116" t="s">
        <v>35</v>
      </c>
      <c r="C59" s="116" t="s">
        <v>38</v>
      </c>
      <c r="D59" s="116" t="s">
        <v>684</v>
      </c>
    </row>
    <row r="60" spans="1:4" x14ac:dyDescent="0.15">
      <c r="A60" s="115">
        <v>38910</v>
      </c>
      <c r="B60" s="116" t="s">
        <v>35</v>
      </c>
      <c r="C60" s="116" t="s">
        <v>40</v>
      </c>
      <c r="D60" s="116" t="s">
        <v>691</v>
      </c>
    </row>
    <row r="61" spans="1:4" x14ac:dyDescent="0.15">
      <c r="A61" s="115">
        <v>38910</v>
      </c>
      <c r="B61" s="116" t="s">
        <v>35</v>
      </c>
      <c r="C61" s="116" t="s">
        <v>41</v>
      </c>
      <c r="D61" s="116" t="s">
        <v>694</v>
      </c>
    </row>
    <row r="62" spans="1:4" x14ac:dyDescent="0.15">
      <c r="A62" s="115">
        <v>38910</v>
      </c>
      <c r="B62" s="116" t="s">
        <v>39</v>
      </c>
      <c r="C62" s="116" t="s">
        <v>42</v>
      </c>
      <c r="D62" s="116" t="s">
        <v>684</v>
      </c>
    </row>
    <row r="63" spans="1:4" x14ac:dyDescent="0.15">
      <c r="A63" s="115">
        <v>38910</v>
      </c>
      <c r="B63" s="116" t="s">
        <v>39</v>
      </c>
      <c r="C63" s="116" t="s">
        <v>43</v>
      </c>
      <c r="D63" s="116" t="s">
        <v>691</v>
      </c>
    </row>
    <row r="64" spans="1:4" x14ac:dyDescent="0.15">
      <c r="A64" s="115">
        <v>38910</v>
      </c>
      <c r="B64" s="116" t="s">
        <v>39</v>
      </c>
      <c r="C64" s="116" t="s">
        <v>44</v>
      </c>
      <c r="D64" s="116" t="s">
        <v>511</v>
      </c>
    </row>
    <row r="65" spans="1:4" x14ac:dyDescent="0.15">
      <c r="A65" s="113">
        <v>38909</v>
      </c>
      <c r="B65" t="s">
        <v>45</v>
      </c>
      <c r="C65" t="s">
        <v>46</v>
      </c>
      <c r="D65" t="s">
        <v>684</v>
      </c>
    </row>
    <row r="66" spans="1:4" x14ac:dyDescent="0.15">
      <c r="A66" s="113">
        <v>38909</v>
      </c>
      <c r="B66" t="s">
        <v>45</v>
      </c>
      <c r="C66" t="s">
        <v>48</v>
      </c>
      <c r="D66" t="s">
        <v>688</v>
      </c>
    </row>
    <row r="67" spans="1:4" x14ac:dyDescent="0.15">
      <c r="A67" s="113">
        <v>38909</v>
      </c>
      <c r="B67" t="s">
        <v>45</v>
      </c>
      <c r="C67" t="s">
        <v>426</v>
      </c>
      <c r="D67" t="s">
        <v>540</v>
      </c>
    </row>
    <row r="68" spans="1:4" x14ac:dyDescent="0.15">
      <c r="A68" s="113">
        <v>38909</v>
      </c>
      <c r="B68" t="s">
        <v>47</v>
      </c>
      <c r="C68" t="s">
        <v>553</v>
      </c>
      <c r="D68" t="s">
        <v>688</v>
      </c>
    </row>
    <row r="69" spans="1:4" x14ac:dyDescent="0.15">
      <c r="A69" s="113">
        <v>38909</v>
      </c>
      <c r="B69" t="s">
        <v>47</v>
      </c>
      <c r="C69" t="s">
        <v>49</v>
      </c>
      <c r="D69" t="s">
        <v>691</v>
      </c>
    </row>
    <row r="70" spans="1:4" x14ac:dyDescent="0.15">
      <c r="A70" s="113">
        <v>38909</v>
      </c>
      <c r="B70" t="s">
        <v>47</v>
      </c>
      <c r="C70" t="s">
        <v>50</v>
      </c>
      <c r="D70" t="s">
        <v>691</v>
      </c>
    </row>
    <row r="71" spans="1:4" s="116" customFormat="1" x14ac:dyDescent="0.15">
      <c r="A71" s="115">
        <v>38909</v>
      </c>
      <c r="B71" s="116" t="s">
        <v>51</v>
      </c>
      <c r="C71" s="116" t="s">
        <v>52</v>
      </c>
      <c r="D71" s="116" t="s">
        <v>688</v>
      </c>
    </row>
    <row r="72" spans="1:4" s="116" customFormat="1" x14ac:dyDescent="0.15">
      <c r="A72" s="115">
        <v>38909</v>
      </c>
      <c r="B72" s="116" t="s">
        <v>51</v>
      </c>
      <c r="C72" s="116" t="s">
        <v>544</v>
      </c>
      <c r="D72" s="116" t="s">
        <v>691</v>
      </c>
    </row>
    <row r="73" spans="1:4" s="116" customFormat="1" x14ac:dyDescent="0.15">
      <c r="A73" s="115">
        <v>38909</v>
      </c>
      <c r="B73" s="116" t="s">
        <v>51</v>
      </c>
      <c r="C73" s="116" t="s">
        <v>53</v>
      </c>
      <c r="D73" s="116" t="s">
        <v>540</v>
      </c>
    </row>
    <row r="74" spans="1:4" s="116" customFormat="1" x14ac:dyDescent="0.15">
      <c r="A74" s="115">
        <v>38909</v>
      </c>
      <c r="B74" s="116" t="s">
        <v>51</v>
      </c>
      <c r="C74" s="116" t="s">
        <v>571</v>
      </c>
      <c r="D74" s="116" t="s">
        <v>519</v>
      </c>
    </row>
    <row r="75" spans="1:4" s="116" customFormat="1" x14ac:dyDescent="0.15">
      <c r="A75" s="115">
        <v>38909</v>
      </c>
      <c r="B75" s="116" t="s">
        <v>682</v>
      </c>
      <c r="C75" s="116" t="s">
        <v>492</v>
      </c>
      <c r="D75" s="116" t="s">
        <v>688</v>
      </c>
    </row>
    <row r="76" spans="1:4" s="116" customFormat="1" x14ac:dyDescent="0.15">
      <c r="A76" s="115">
        <v>38909</v>
      </c>
      <c r="B76" s="116" t="s">
        <v>682</v>
      </c>
      <c r="C76" s="116" t="s">
        <v>54</v>
      </c>
      <c r="D76" s="116" t="s">
        <v>691</v>
      </c>
    </row>
    <row r="77" spans="1:4" s="116" customFormat="1" x14ac:dyDescent="0.15">
      <c r="A77" s="115">
        <v>38909</v>
      </c>
      <c r="B77" s="116" t="s">
        <v>682</v>
      </c>
      <c r="C77" s="116" t="s">
        <v>55</v>
      </c>
      <c r="D77" s="116" t="s">
        <v>565</v>
      </c>
    </row>
    <row r="78" spans="1:4" s="116" customFormat="1" x14ac:dyDescent="0.15">
      <c r="A78" s="115">
        <v>38909</v>
      </c>
      <c r="B78" s="116" t="s">
        <v>682</v>
      </c>
      <c r="C78" s="116" t="s">
        <v>56</v>
      </c>
      <c r="D78" s="116" t="s">
        <v>519</v>
      </c>
    </row>
    <row r="79" spans="1:4" x14ac:dyDescent="0.15">
      <c r="A79" s="113">
        <v>38893</v>
      </c>
      <c r="B79" t="s">
        <v>47</v>
      </c>
      <c r="C79" t="s">
        <v>57</v>
      </c>
      <c r="D79" t="s">
        <v>684</v>
      </c>
    </row>
    <row r="80" spans="1:4" x14ac:dyDescent="0.15">
      <c r="A80" s="113">
        <v>38893</v>
      </c>
      <c r="B80" t="s">
        <v>39</v>
      </c>
      <c r="C80" t="s">
        <v>58</v>
      </c>
      <c r="D80" t="s">
        <v>691</v>
      </c>
    </row>
    <row r="81" spans="1:4" s="116" customFormat="1" x14ac:dyDescent="0.15">
      <c r="A81" s="115">
        <v>38889</v>
      </c>
      <c r="B81" s="116" t="s">
        <v>59</v>
      </c>
      <c r="C81" s="116" t="s">
        <v>405</v>
      </c>
      <c r="D81" s="116" t="s">
        <v>688</v>
      </c>
    </row>
    <row r="82" spans="1:4" s="116" customFormat="1" x14ac:dyDescent="0.15">
      <c r="A82" s="115">
        <v>38889</v>
      </c>
      <c r="B82" s="116" t="s">
        <v>59</v>
      </c>
      <c r="C82" s="116" t="s">
        <v>60</v>
      </c>
      <c r="D82" s="116" t="s">
        <v>691</v>
      </c>
    </row>
    <row r="83" spans="1:4" s="116" customFormat="1" x14ac:dyDescent="0.15">
      <c r="A83" s="115">
        <v>38889</v>
      </c>
      <c r="B83" s="116" t="s">
        <v>59</v>
      </c>
      <c r="C83" s="116" t="s">
        <v>460</v>
      </c>
      <c r="D83" s="116" t="s">
        <v>694</v>
      </c>
    </row>
    <row r="84" spans="1:4" s="116" customFormat="1" x14ac:dyDescent="0.15">
      <c r="A84" s="115">
        <v>38889</v>
      </c>
      <c r="B84" s="116" t="s">
        <v>59</v>
      </c>
      <c r="C84" s="116" t="s">
        <v>61</v>
      </c>
      <c r="D84" s="116" t="s">
        <v>565</v>
      </c>
    </row>
    <row r="85" spans="1:4" s="116" customFormat="1" x14ac:dyDescent="0.15">
      <c r="A85" s="115">
        <v>38889</v>
      </c>
      <c r="B85" s="116" t="s">
        <v>45</v>
      </c>
      <c r="C85" s="116" t="s">
        <v>463</v>
      </c>
      <c r="D85" s="116" t="s">
        <v>688</v>
      </c>
    </row>
    <row r="86" spans="1:4" s="116" customFormat="1" x14ac:dyDescent="0.15">
      <c r="A86" s="115">
        <v>38889</v>
      </c>
      <c r="B86" s="116" t="s">
        <v>45</v>
      </c>
      <c r="C86" s="116" t="s">
        <v>62</v>
      </c>
      <c r="D86" s="116" t="s">
        <v>691</v>
      </c>
    </row>
    <row r="87" spans="1:4" s="116" customFormat="1" x14ac:dyDescent="0.15">
      <c r="A87" s="115">
        <v>38889</v>
      </c>
      <c r="B87" s="116" t="s">
        <v>45</v>
      </c>
      <c r="C87" s="116" t="s">
        <v>63</v>
      </c>
      <c r="D87" s="116" t="s">
        <v>694</v>
      </c>
    </row>
    <row r="88" spans="1:4" s="116" customFormat="1" x14ac:dyDescent="0.15">
      <c r="A88" s="115">
        <v>38889</v>
      </c>
      <c r="B88" s="116" t="s">
        <v>45</v>
      </c>
      <c r="C88" s="116" t="s">
        <v>64</v>
      </c>
      <c r="D88" s="116" t="s">
        <v>565</v>
      </c>
    </row>
    <row r="89" spans="1:4" x14ac:dyDescent="0.15">
      <c r="A89" s="113">
        <v>38869</v>
      </c>
      <c r="B89" t="s">
        <v>31</v>
      </c>
      <c r="C89" t="s">
        <v>441</v>
      </c>
      <c r="D89" t="s">
        <v>684</v>
      </c>
    </row>
    <row r="90" spans="1:4" x14ac:dyDescent="0.15">
      <c r="A90" s="113">
        <v>38869</v>
      </c>
      <c r="B90" t="s">
        <v>31</v>
      </c>
      <c r="C90" t="s">
        <v>544</v>
      </c>
      <c r="D90" t="s">
        <v>691</v>
      </c>
    </row>
    <row r="91" spans="1:4" x14ac:dyDescent="0.15">
      <c r="A91" s="113">
        <v>38869</v>
      </c>
      <c r="B91" t="s">
        <v>51</v>
      </c>
      <c r="C91" t="s">
        <v>65</v>
      </c>
      <c r="D91" t="s">
        <v>684</v>
      </c>
    </row>
    <row r="92" spans="1:4" x14ac:dyDescent="0.15">
      <c r="A92" s="113">
        <v>38869</v>
      </c>
      <c r="B92" t="s">
        <v>51</v>
      </c>
      <c r="C92" t="s">
        <v>66</v>
      </c>
      <c r="D92" t="s">
        <v>691</v>
      </c>
    </row>
    <row r="93" spans="1:4" s="116" customFormat="1" x14ac:dyDescent="0.15">
      <c r="A93" s="115">
        <v>38868</v>
      </c>
      <c r="B93" s="116" t="s">
        <v>35</v>
      </c>
      <c r="C93" s="116" t="s">
        <v>67</v>
      </c>
      <c r="D93" s="116" t="s">
        <v>688</v>
      </c>
    </row>
    <row r="94" spans="1:4" s="116" customFormat="1" x14ac:dyDescent="0.15">
      <c r="A94" s="115">
        <v>38868</v>
      </c>
      <c r="B94" s="116" t="s">
        <v>35</v>
      </c>
      <c r="C94" s="116" t="s">
        <v>32</v>
      </c>
      <c r="D94" s="116" t="s">
        <v>691</v>
      </c>
    </row>
    <row r="95" spans="1:4" s="116" customFormat="1" x14ac:dyDescent="0.15">
      <c r="A95" s="115">
        <v>38868</v>
      </c>
      <c r="B95" s="116" t="s">
        <v>31</v>
      </c>
      <c r="C95" s="116" t="s">
        <v>68</v>
      </c>
      <c r="D95" s="116" t="s">
        <v>688</v>
      </c>
    </row>
    <row r="96" spans="1:4" s="116" customFormat="1" x14ac:dyDescent="0.15">
      <c r="A96" s="115">
        <v>38868</v>
      </c>
      <c r="B96" s="116" t="s">
        <v>31</v>
      </c>
      <c r="C96" s="116" t="s">
        <v>36</v>
      </c>
      <c r="D96" s="116" t="s">
        <v>691</v>
      </c>
    </row>
    <row r="97" spans="1:4" x14ac:dyDescent="0.15">
      <c r="A97" s="113">
        <v>38865</v>
      </c>
      <c r="B97" t="s">
        <v>69</v>
      </c>
      <c r="C97" t="s">
        <v>293</v>
      </c>
      <c r="D97" t="s">
        <v>684</v>
      </c>
    </row>
    <row r="98" spans="1:4" x14ac:dyDescent="0.15">
      <c r="A98" s="113">
        <v>38865</v>
      </c>
      <c r="B98" t="s">
        <v>69</v>
      </c>
      <c r="C98" t="s">
        <v>71</v>
      </c>
      <c r="D98" t="s">
        <v>684</v>
      </c>
    </row>
    <row r="99" spans="1:4" x14ac:dyDescent="0.15">
      <c r="A99" s="113">
        <v>38865</v>
      </c>
      <c r="B99" t="s">
        <v>69</v>
      </c>
      <c r="C99" t="s">
        <v>440</v>
      </c>
      <c r="D99" t="s">
        <v>688</v>
      </c>
    </row>
    <row r="100" spans="1:4" x14ac:dyDescent="0.15">
      <c r="A100" s="113">
        <v>38865</v>
      </c>
      <c r="B100" t="s">
        <v>69</v>
      </c>
      <c r="C100" t="s">
        <v>72</v>
      </c>
      <c r="D100" t="s">
        <v>691</v>
      </c>
    </row>
    <row r="101" spans="1:4" x14ac:dyDescent="0.15">
      <c r="A101" s="113">
        <v>38865</v>
      </c>
      <c r="B101" t="s">
        <v>69</v>
      </c>
      <c r="C101" t="s">
        <v>406</v>
      </c>
      <c r="D101" t="s">
        <v>511</v>
      </c>
    </row>
    <row r="102" spans="1:4" x14ac:dyDescent="0.15">
      <c r="A102" s="113">
        <v>38865</v>
      </c>
      <c r="B102" t="s">
        <v>70</v>
      </c>
      <c r="C102" t="s">
        <v>73</v>
      </c>
      <c r="D102" t="s">
        <v>684</v>
      </c>
    </row>
    <row r="103" spans="1:4" x14ac:dyDescent="0.15">
      <c r="A103" s="113">
        <v>38865</v>
      </c>
      <c r="B103" t="s">
        <v>70</v>
      </c>
      <c r="C103" t="s">
        <v>399</v>
      </c>
      <c r="D103" t="s">
        <v>688</v>
      </c>
    </row>
    <row r="104" spans="1:4" x14ac:dyDescent="0.15">
      <c r="A104" s="113">
        <v>38865</v>
      </c>
      <c r="B104" t="s">
        <v>70</v>
      </c>
      <c r="C104" t="s">
        <v>74</v>
      </c>
      <c r="D104" t="s">
        <v>691</v>
      </c>
    </row>
    <row r="105" spans="1:4" x14ac:dyDescent="0.15">
      <c r="A105" s="113">
        <v>38865</v>
      </c>
      <c r="B105" t="s">
        <v>70</v>
      </c>
      <c r="C105" t="s">
        <v>75</v>
      </c>
      <c r="D105" t="s">
        <v>511</v>
      </c>
    </row>
    <row r="106" spans="1:4" s="116" customFormat="1" x14ac:dyDescent="0.15">
      <c r="A106" s="115">
        <v>38861</v>
      </c>
      <c r="B106" s="116" t="s">
        <v>69</v>
      </c>
      <c r="C106" s="116" t="s">
        <v>76</v>
      </c>
      <c r="D106" s="116" t="s">
        <v>684</v>
      </c>
    </row>
    <row r="107" spans="1:4" s="116" customFormat="1" x14ac:dyDescent="0.15">
      <c r="A107" s="115">
        <v>38861</v>
      </c>
      <c r="B107" s="116" t="s">
        <v>69</v>
      </c>
      <c r="C107" s="116" t="s">
        <v>77</v>
      </c>
      <c r="D107" s="116" t="s">
        <v>565</v>
      </c>
    </row>
    <row r="108" spans="1:4" s="116" customFormat="1" x14ac:dyDescent="0.15">
      <c r="A108" s="115">
        <v>38861</v>
      </c>
      <c r="B108" s="116" t="s">
        <v>35</v>
      </c>
      <c r="C108" s="116" t="s">
        <v>78</v>
      </c>
      <c r="D108" s="116" t="s">
        <v>684</v>
      </c>
    </row>
    <row r="109" spans="1:4" s="116" customFormat="1" x14ac:dyDescent="0.15">
      <c r="A109" s="115">
        <v>38861</v>
      </c>
      <c r="B109" s="116" t="s">
        <v>35</v>
      </c>
      <c r="C109" s="116" t="s">
        <v>79</v>
      </c>
      <c r="D109" s="116" t="s">
        <v>691</v>
      </c>
    </row>
    <row r="110" spans="1:4" x14ac:dyDescent="0.15">
      <c r="A110" s="113">
        <v>38860</v>
      </c>
      <c r="B110" t="s">
        <v>70</v>
      </c>
      <c r="C110" t="s">
        <v>80</v>
      </c>
      <c r="D110" t="s">
        <v>684</v>
      </c>
    </row>
    <row r="111" spans="1:4" x14ac:dyDescent="0.15">
      <c r="A111" s="113">
        <v>38860</v>
      </c>
      <c r="B111" t="s">
        <v>70</v>
      </c>
      <c r="C111" t="s">
        <v>81</v>
      </c>
      <c r="D111" t="s">
        <v>688</v>
      </c>
    </row>
    <row r="112" spans="1:4" x14ac:dyDescent="0.15">
      <c r="A112" s="113">
        <v>38860</v>
      </c>
      <c r="B112" t="s">
        <v>70</v>
      </c>
      <c r="C112" t="s">
        <v>82</v>
      </c>
      <c r="D112" t="s">
        <v>691</v>
      </c>
    </row>
    <row r="113" spans="1:4" x14ac:dyDescent="0.15">
      <c r="A113" s="113">
        <v>38860</v>
      </c>
      <c r="B113" t="s">
        <v>70</v>
      </c>
      <c r="C113" t="s">
        <v>83</v>
      </c>
      <c r="D113" t="s">
        <v>691</v>
      </c>
    </row>
    <row r="114" spans="1:4" x14ac:dyDescent="0.15">
      <c r="A114" s="113">
        <v>38860</v>
      </c>
      <c r="B114" t="s">
        <v>70</v>
      </c>
      <c r="C114" t="s">
        <v>84</v>
      </c>
      <c r="D114" t="s">
        <v>85</v>
      </c>
    </row>
    <row r="115" spans="1:4" x14ac:dyDescent="0.15">
      <c r="A115" s="113">
        <v>38860</v>
      </c>
      <c r="B115" t="s">
        <v>70</v>
      </c>
      <c r="C115" t="s">
        <v>86</v>
      </c>
      <c r="D115" t="s">
        <v>511</v>
      </c>
    </row>
    <row r="116" spans="1:4" x14ac:dyDescent="0.15">
      <c r="A116" s="113">
        <v>38860</v>
      </c>
      <c r="B116" t="s">
        <v>47</v>
      </c>
      <c r="C116" t="s">
        <v>87</v>
      </c>
      <c r="D116" t="s">
        <v>684</v>
      </c>
    </row>
    <row r="117" spans="1:4" x14ac:dyDescent="0.15">
      <c r="A117" s="113">
        <v>38860</v>
      </c>
      <c r="B117" t="s">
        <v>47</v>
      </c>
      <c r="C117" t="s">
        <v>88</v>
      </c>
      <c r="D117" t="s">
        <v>688</v>
      </c>
    </row>
    <row r="118" spans="1:4" x14ac:dyDescent="0.15">
      <c r="A118" s="113">
        <v>38860</v>
      </c>
      <c r="B118" t="s">
        <v>47</v>
      </c>
      <c r="C118" t="s">
        <v>89</v>
      </c>
      <c r="D118" t="s">
        <v>691</v>
      </c>
    </row>
    <row r="119" spans="1:4" x14ac:dyDescent="0.15">
      <c r="A119" s="113">
        <v>38860</v>
      </c>
      <c r="B119" t="s">
        <v>47</v>
      </c>
      <c r="C119" t="s">
        <v>90</v>
      </c>
      <c r="D119" t="s">
        <v>691</v>
      </c>
    </row>
    <row r="120" spans="1:4" x14ac:dyDescent="0.15">
      <c r="A120" s="113">
        <v>38860</v>
      </c>
      <c r="B120" t="s">
        <v>47</v>
      </c>
      <c r="C120" t="s">
        <v>91</v>
      </c>
      <c r="D120" t="s">
        <v>565</v>
      </c>
    </row>
    <row r="121" spans="1:4" x14ac:dyDescent="0.15">
      <c r="A121" s="113">
        <v>38860</v>
      </c>
      <c r="B121" t="s">
        <v>47</v>
      </c>
      <c r="C121" t="s">
        <v>92</v>
      </c>
      <c r="D121" t="s">
        <v>511</v>
      </c>
    </row>
  </sheetData>
  <phoneticPr fontId="16" type="noConversion"/>
  <pageMargins left="0.7" right="0.7" top="0.75" bottom="0.75" header="0.5" footer="0.5"/>
  <pageSetup orientation="portrait" horizontalDpi="4294967292" verticalDpi="429496729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150"/>
  <sheetViews>
    <sheetView workbookViewId="0">
      <selection activeCell="C5" sqref="C5"/>
    </sheetView>
  </sheetViews>
  <sheetFormatPr baseColWidth="10" defaultRowHeight="13" x14ac:dyDescent="0.15"/>
  <cols>
    <col min="4" max="4" width="13" customWidth="1"/>
    <col min="5" max="5" width="17.1640625" customWidth="1"/>
  </cols>
  <sheetData>
    <row r="1" spans="1:5" s="105" customFormat="1" ht="18" x14ac:dyDescent="0.2">
      <c r="A1" s="105" t="s">
        <v>787</v>
      </c>
      <c r="B1" s="105" t="s">
        <v>30</v>
      </c>
      <c r="C1" s="105" t="s">
        <v>651</v>
      </c>
      <c r="D1" s="105" t="s">
        <v>176</v>
      </c>
      <c r="E1" s="105" t="s">
        <v>177</v>
      </c>
    </row>
    <row r="2" spans="1:5" x14ac:dyDescent="0.15">
      <c r="A2" t="s">
        <v>823</v>
      </c>
      <c r="B2" t="s">
        <v>824</v>
      </c>
      <c r="C2">
        <v>8206</v>
      </c>
    </row>
    <row r="3" spans="1:5" x14ac:dyDescent="0.15">
      <c r="A3" t="s">
        <v>825</v>
      </c>
      <c r="B3" t="s">
        <v>768</v>
      </c>
      <c r="C3">
        <v>8029</v>
      </c>
    </row>
    <row r="4" spans="1:5" x14ac:dyDescent="0.15">
      <c r="A4" t="s">
        <v>826</v>
      </c>
      <c r="B4" t="s">
        <v>719</v>
      </c>
      <c r="C4">
        <v>7885</v>
      </c>
    </row>
    <row r="5" spans="1:5" x14ac:dyDescent="0.15">
      <c r="A5" t="s">
        <v>827</v>
      </c>
      <c r="B5" t="s">
        <v>828</v>
      </c>
      <c r="C5">
        <v>7761</v>
      </c>
    </row>
    <row r="6" spans="1:5" x14ac:dyDescent="0.15">
      <c r="A6" t="s">
        <v>731</v>
      </c>
      <c r="B6" t="s">
        <v>797</v>
      </c>
      <c r="C6">
        <v>7722</v>
      </c>
    </row>
    <row r="7" spans="1:5" x14ac:dyDescent="0.15">
      <c r="A7" t="s">
        <v>829</v>
      </c>
      <c r="B7" t="s">
        <v>736</v>
      </c>
      <c r="C7">
        <v>7710</v>
      </c>
    </row>
    <row r="8" spans="1:5" x14ac:dyDescent="0.15">
      <c r="A8" t="s">
        <v>830</v>
      </c>
      <c r="B8" t="s">
        <v>721</v>
      </c>
      <c r="C8">
        <v>7524</v>
      </c>
    </row>
    <row r="9" spans="1:5" x14ac:dyDescent="0.15">
      <c r="A9" t="s">
        <v>781</v>
      </c>
      <c r="B9" t="s">
        <v>805</v>
      </c>
      <c r="C9">
        <v>7464</v>
      </c>
    </row>
    <row r="10" spans="1:5" x14ac:dyDescent="0.15">
      <c r="A10" t="s">
        <v>595</v>
      </c>
      <c r="B10" t="s">
        <v>596</v>
      </c>
      <c r="C10">
        <v>7189</v>
      </c>
    </row>
    <row r="11" spans="1:5" x14ac:dyDescent="0.15">
      <c r="A11" t="s">
        <v>831</v>
      </c>
      <c r="B11" t="s">
        <v>801</v>
      </c>
      <c r="C11">
        <v>7188</v>
      </c>
    </row>
    <row r="12" spans="1:5" x14ac:dyDescent="0.15">
      <c r="A12" t="s">
        <v>832</v>
      </c>
      <c r="B12" t="s">
        <v>833</v>
      </c>
      <c r="C12">
        <v>6808</v>
      </c>
    </row>
    <row r="13" spans="1:5" x14ac:dyDescent="0.15">
      <c r="A13" t="s">
        <v>834</v>
      </c>
      <c r="B13" t="s">
        <v>835</v>
      </c>
      <c r="C13">
        <v>6806</v>
      </c>
    </row>
    <row r="15" spans="1:5" x14ac:dyDescent="0.15">
      <c r="A15" s="1" t="s">
        <v>1104</v>
      </c>
    </row>
    <row r="17" spans="1:19" s="121" customFormat="1" ht="18" x14ac:dyDescent="0.2">
      <c r="A17" s="121" t="s">
        <v>836</v>
      </c>
    </row>
    <row r="18" spans="1:19" x14ac:dyDescent="0.15">
      <c r="A18" t="s">
        <v>659</v>
      </c>
      <c r="B18" t="s">
        <v>837</v>
      </c>
      <c r="C18" t="s">
        <v>787</v>
      </c>
      <c r="D18" t="s">
        <v>684</v>
      </c>
      <c r="E18" t="s">
        <v>2</v>
      </c>
      <c r="F18" t="s">
        <v>565</v>
      </c>
      <c r="G18" t="s">
        <v>694</v>
      </c>
      <c r="H18" t="s">
        <v>3</v>
      </c>
      <c r="I18" t="s">
        <v>4</v>
      </c>
      <c r="J18" t="s">
        <v>5</v>
      </c>
      <c r="K18" t="s">
        <v>838</v>
      </c>
      <c r="L18" t="s">
        <v>6</v>
      </c>
      <c r="M18" t="s">
        <v>839</v>
      </c>
      <c r="N18" t="s">
        <v>840</v>
      </c>
      <c r="O18" t="s">
        <v>841</v>
      </c>
      <c r="P18" t="s">
        <v>842</v>
      </c>
      <c r="Q18" t="s">
        <v>685</v>
      </c>
      <c r="R18" t="s">
        <v>843</v>
      </c>
      <c r="S18" t="s">
        <v>482</v>
      </c>
    </row>
    <row r="19" spans="1:19" x14ac:dyDescent="0.15">
      <c r="A19">
        <v>1</v>
      </c>
      <c r="B19">
        <v>4136</v>
      </c>
      <c r="C19" t="s">
        <v>844</v>
      </c>
      <c r="D19">
        <v>839</v>
      </c>
      <c r="E19">
        <v>1646</v>
      </c>
      <c r="F19">
        <v>330</v>
      </c>
      <c r="G19">
        <v>102</v>
      </c>
      <c r="H19">
        <v>552</v>
      </c>
      <c r="I19">
        <v>787</v>
      </c>
      <c r="J19">
        <v>544</v>
      </c>
      <c r="K19">
        <v>-887</v>
      </c>
      <c r="L19">
        <v>356</v>
      </c>
      <c r="M19">
        <v>-52</v>
      </c>
      <c r="N19">
        <v>0</v>
      </c>
      <c r="O19">
        <v>53</v>
      </c>
      <c r="P19">
        <v>37</v>
      </c>
      <c r="Q19">
        <v>44</v>
      </c>
      <c r="R19">
        <v>-135</v>
      </c>
      <c r="S19">
        <v>-80</v>
      </c>
    </row>
    <row r="20" spans="1:19" x14ac:dyDescent="0.15">
      <c r="A20">
        <v>2</v>
      </c>
      <c r="B20">
        <v>4131</v>
      </c>
      <c r="C20" t="s">
        <v>825</v>
      </c>
      <c r="D20">
        <v>846</v>
      </c>
      <c r="E20">
        <v>1606</v>
      </c>
      <c r="F20">
        <v>331</v>
      </c>
      <c r="G20">
        <v>60</v>
      </c>
      <c r="H20">
        <v>714</v>
      </c>
      <c r="I20">
        <v>840</v>
      </c>
      <c r="J20">
        <v>671</v>
      </c>
      <c r="K20">
        <v>-1033</v>
      </c>
      <c r="L20">
        <v>208</v>
      </c>
      <c r="M20">
        <v>-39</v>
      </c>
      <c r="N20">
        <v>5</v>
      </c>
      <c r="O20">
        <v>74</v>
      </c>
      <c r="P20">
        <v>11</v>
      </c>
      <c r="Q20">
        <v>57</v>
      </c>
      <c r="R20">
        <v>-147</v>
      </c>
      <c r="S20">
        <v>-73</v>
      </c>
    </row>
    <row r="21" spans="1:19" x14ac:dyDescent="0.15">
      <c r="A21">
        <v>3</v>
      </c>
      <c r="B21">
        <v>4110</v>
      </c>
      <c r="C21" t="s">
        <v>737</v>
      </c>
      <c r="D21">
        <v>893</v>
      </c>
      <c r="E21">
        <v>1664</v>
      </c>
      <c r="F21">
        <v>345</v>
      </c>
      <c r="G21">
        <v>90</v>
      </c>
      <c r="H21">
        <v>654</v>
      </c>
      <c r="I21">
        <v>885</v>
      </c>
      <c r="J21">
        <v>681</v>
      </c>
      <c r="K21">
        <v>-1195</v>
      </c>
      <c r="L21">
        <v>236</v>
      </c>
      <c r="M21">
        <v>-52</v>
      </c>
      <c r="N21">
        <v>0</v>
      </c>
      <c r="O21">
        <v>56</v>
      </c>
      <c r="P21">
        <v>26</v>
      </c>
      <c r="Q21">
        <v>54</v>
      </c>
      <c r="R21">
        <v>-150</v>
      </c>
      <c r="S21">
        <v>-77</v>
      </c>
    </row>
    <row r="22" spans="1:19" x14ac:dyDescent="0.15">
      <c r="A22">
        <v>4</v>
      </c>
      <c r="B22">
        <v>4044</v>
      </c>
      <c r="C22" t="s">
        <v>731</v>
      </c>
      <c r="D22">
        <v>830</v>
      </c>
      <c r="E22">
        <v>1635</v>
      </c>
      <c r="F22">
        <v>347</v>
      </c>
      <c r="G22">
        <v>66</v>
      </c>
      <c r="H22">
        <v>603</v>
      </c>
      <c r="I22">
        <v>878</v>
      </c>
      <c r="J22">
        <v>597</v>
      </c>
      <c r="K22">
        <v>-1061</v>
      </c>
      <c r="L22">
        <v>252</v>
      </c>
      <c r="M22">
        <v>-49</v>
      </c>
      <c r="N22">
        <v>0</v>
      </c>
      <c r="O22">
        <v>63</v>
      </c>
      <c r="P22">
        <v>26</v>
      </c>
      <c r="Q22">
        <v>71</v>
      </c>
      <c r="R22">
        <v>-144</v>
      </c>
      <c r="S22">
        <v>-70</v>
      </c>
    </row>
    <row r="23" spans="1:19" x14ac:dyDescent="0.15">
      <c r="A23">
        <v>5</v>
      </c>
      <c r="B23">
        <v>4033</v>
      </c>
      <c r="C23" t="s">
        <v>845</v>
      </c>
      <c r="D23">
        <v>879</v>
      </c>
      <c r="E23">
        <v>1650</v>
      </c>
      <c r="F23">
        <v>346</v>
      </c>
      <c r="G23">
        <v>92</v>
      </c>
      <c r="H23">
        <v>621</v>
      </c>
      <c r="I23">
        <v>805</v>
      </c>
      <c r="J23">
        <v>629</v>
      </c>
      <c r="K23">
        <v>-1171</v>
      </c>
      <c r="L23">
        <v>352</v>
      </c>
      <c r="M23">
        <v>-64</v>
      </c>
      <c r="N23">
        <v>0</v>
      </c>
      <c r="O23">
        <v>62</v>
      </c>
      <c r="P23">
        <v>15</v>
      </c>
      <c r="Q23">
        <v>53</v>
      </c>
      <c r="R23">
        <v>-119</v>
      </c>
      <c r="S23">
        <v>-117</v>
      </c>
    </row>
    <row r="24" spans="1:19" x14ac:dyDescent="0.15">
      <c r="A24">
        <v>6</v>
      </c>
      <c r="B24">
        <v>3982</v>
      </c>
      <c r="C24" t="s">
        <v>846</v>
      </c>
      <c r="D24">
        <v>882</v>
      </c>
      <c r="E24">
        <v>1713</v>
      </c>
      <c r="F24">
        <v>329</v>
      </c>
      <c r="G24">
        <v>68</v>
      </c>
      <c r="H24">
        <v>591</v>
      </c>
      <c r="I24">
        <v>831</v>
      </c>
      <c r="J24">
        <v>597</v>
      </c>
      <c r="K24">
        <v>-1143</v>
      </c>
      <c r="L24">
        <v>226</v>
      </c>
      <c r="M24">
        <v>-51</v>
      </c>
      <c r="N24">
        <v>0</v>
      </c>
      <c r="O24">
        <v>58</v>
      </c>
      <c r="P24">
        <v>29</v>
      </c>
      <c r="Q24">
        <v>56</v>
      </c>
      <c r="R24">
        <v>-119</v>
      </c>
      <c r="S24">
        <v>-85</v>
      </c>
    </row>
    <row r="25" spans="1:19" x14ac:dyDescent="0.15">
      <c r="A25">
        <v>7</v>
      </c>
      <c r="B25">
        <v>3869</v>
      </c>
      <c r="C25" t="s">
        <v>830</v>
      </c>
      <c r="D25">
        <v>827</v>
      </c>
      <c r="E25">
        <v>1560</v>
      </c>
      <c r="F25">
        <v>323</v>
      </c>
      <c r="G25">
        <v>52</v>
      </c>
      <c r="H25">
        <v>717</v>
      </c>
      <c r="I25">
        <v>876</v>
      </c>
      <c r="J25">
        <v>634</v>
      </c>
      <c r="K25">
        <v>-1269</v>
      </c>
      <c r="L25">
        <v>298</v>
      </c>
      <c r="M25">
        <v>-49</v>
      </c>
      <c r="N25">
        <v>0</v>
      </c>
      <c r="O25">
        <v>56</v>
      </c>
      <c r="P25">
        <v>12</v>
      </c>
      <c r="Q25">
        <v>53</v>
      </c>
      <c r="R25">
        <v>-143</v>
      </c>
      <c r="S25">
        <v>-78</v>
      </c>
    </row>
    <row r="26" spans="1:19" x14ac:dyDescent="0.15">
      <c r="A26">
        <v>8</v>
      </c>
      <c r="B26">
        <v>3800</v>
      </c>
      <c r="C26" t="s">
        <v>847</v>
      </c>
      <c r="D26">
        <v>815</v>
      </c>
      <c r="E26">
        <v>1634</v>
      </c>
      <c r="F26">
        <v>312</v>
      </c>
      <c r="G26">
        <v>38</v>
      </c>
      <c r="H26">
        <v>609</v>
      </c>
      <c r="I26">
        <v>771</v>
      </c>
      <c r="J26">
        <v>632</v>
      </c>
      <c r="K26">
        <v>-1136</v>
      </c>
      <c r="L26">
        <v>282</v>
      </c>
      <c r="M26">
        <v>-50</v>
      </c>
      <c r="N26">
        <v>0</v>
      </c>
      <c r="O26">
        <v>53</v>
      </c>
      <c r="P26">
        <v>29</v>
      </c>
      <c r="Q26">
        <v>46</v>
      </c>
      <c r="R26">
        <v>-145</v>
      </c>
      <c r="S26">
        <v>-90</v>
      </c>
    </row>
    <row r="27" spans="1:19" x14ac:dyDescent="0.15">
      <c r="A27">
        <v>9</v>
      </c>
      <c r="B27">
        <v>3632</v>
      </c>
      <c r="C27" t="s">
        <v>848</v>
      </c>
      <c r="D27">
        <v>783</v>
      </c>
      <c r="E27">
        <v>1603</v>
      </c>
      <c r="F27">
        <v>320</v>
      </c>
      <c r="G27">
        <v>64</v>
      </c>
      <c r="H27">
        <v>516</v>
      </c>
      <c r="I27">
        <v>765</v>
      </c>
      <c r="J27">
        <v>544</v>
      </c>
      <c r="K27">
        <v>-1019</v>
      </c>
      <c r="L27">
        <v>190</v>
      </c>
      <c r="M27">
        <v>-44</v>
      </c>
      <c r="N27">
        <v>0</v>
      </c>
      <c r="O27">
        <v>57</v>
      </c>
      <c r="P27">
        <v>17</v>
      </c>
      <c r="Q27">
        <v>54</v>
      </c>
      <c r="R27">
        <v>-137</v>
      </c>
      <c r="S27">
        <v>-81</v>
      </c>
    </row>
    <row r="28" spans="1:19" x14ac:dyDescent="0.15">
      <c r="A28">
        <v>10</v>
      </c>
      <c r="B28">
        <v>3527</v>
      </c>
      <c r="C28" t="s">
        <v>832</v>
      </c>
      <c r="D28">
        <v>810</v>
      </c>
      <c r="E28">
        <v>1493</v>
      </c>
      <c r="F28">
        <v>297</v>
      </c>
      <c r="G28">
        <v>38</v>
      </c>
      <c r="H28">
        <v>573</v>
      </c>
      <c r="I28">
        <v>682</v>
      </c>
      <c r="J28">
        <v>556</v>
      </c>
      <c r="K28">
        <v>-992</v>
      </c>
      <c r="L28">
        <v>226</v>
      </c>
      <c r="M28">
        <v>-60</v>
      </c>
      <c r="N28">
        <v>0</v>
      </c>
      <c r="O28">
        <v>58</v>
      </c>
      <c r="P28">
        <v>19</v>
      </c>
      <c r="Q28">
        <v>38</v>
      </c>
      <c r="R28">
        <v>-135</v>
      </c>
      <c r="S28">
        <v>-76</v>
      </c>
    </row>
    <row r="29" spans="1:19" x14ac:dyDescent="0.15">
      <c r="A29">
        <v>11</v>
      </c>
      <c r="B29">
        <v>3502</v>
      </c>
      <c r="C29" t="s">
        <v>834</v>
      </c>
      <c r="D29">
        <v>757</v>
      </c>
      <c r="E29">
        <v>1487</v>
      </c>
      <c r="F29">
        <v>299</v>
      </c>
      <c r="G29">
        <v>74</v>
      </c>
      <c r="H29">
        <v>564</v>
      </c>
      <c r="I29">
        <v>728</v>
      </c>
      <c r="J29">
        <v>550</v>
      </c>
      <c r="K29">
        <v>-1051</v>
      </c>
      <c r="L29">
        <v>274</v>
      </c>
      <c r="M29">
        <v>-50</v>
      </c>
      <c r="N29">
        <v>0</v>
      </c>
      <c r="O29">
        <v>48</v>
      </c>
      <c r="P29">
        <v>15</v>
      </c>
      <c r="Q29">
        <v>43</v>
      </c>
      <c r="R29">
        <v>-137</v>
      </c>
      <c r="S29">
        <v>-99</v>
      </c>
    </row>
    <row r="30" spans="1:19" x14ac:dyDescent="0.15">
      <c r="A30">
        <v>12</v>
      </c>
      <c r="B30">
        <v>3431</v>
      </c>
      <c r="C30" t="s">
        <v>595</v>
      </c>
      <c r="D30">
        <v>769</v>
      </c>
      <c r="E30">
        <v>1501</v>
      </c>
      <c r="F30">
        <v>285</v>
      </c>
      <c r="G30">
        <v>48</v>
      </c>
      <c r="H30">
        <v>570</v>
      </c>
      <c r="I30">
        <v>720</v>
      </c>
      <c r="J30">
        <v>553</v>
      </c>
      <c r="K30">
        <v>-1185</v>
      </c>
      <c r="L30">
        <v>286</v>
      </c>
      <c r="M30">
        <v>-48</v>
      </c>
      <c r="N30">
        <v>0</v>
      </c>
      <c r="O30">
        <v>67</v>
      </c>
      <c r="P30">
        <v>26</v>
      </c>
      <c r="Q30">
        <v>37</v>
      </c>
      <c r="R30">
        <v>-108</v>
      </c>
      <c r="S30">
        <v>-90</v>
      </c>
    </row>
    <row r="32" spans="1:19" s="122" customFormat="1" ht="18" x14ac:dyDescent="0.2">
      <c r="A32" s="122" t="s">
        <v>849</v>
      </c>
    </row>
    <row r="33" spans="1:20" x14ac:dyDescent="0.15">
      <c r="A33" t="s">
        <v>659</v>
      </c>
      <c r="B33" t="s">
        <v>837</v>
      </c>
      <c r="C33" t="s">
        <v>787</v>
      </c>
      <c r="D33" t="s">
        <v>850</v>
      </c>
      <c r="E33" t="s">
        <v>851</v>
      </c>
      <c r="F33" t="s">
        <v>666</v>
      </c>
      <c r="G33" t="s">
        <v>2</v>
      </c>
      <c r="H33" t="s">
        <v>17</v>
      </c>
      <c r="I33" t="s">
        <v>5</v>
      </c>
      <c r="J33" t="s">
        <v>7</v>
      </c>
      <c r="K33" t="s">
        <v>14</v>
      </c>
      <c r="L33" t="s">
        <v>15</v>
      </c>
      <c r="M33" t="s">
        <v>852</v>
      </c>
      <c r="N33" t="s">
        <v>16</v>
      </c>
      <c r="O33" t="s">
        <v>853</v>
      </c>
      <c r="P33" t="s">
        <v>854</v>
      </c>
      <c r="Q33" t="s">
        <v>855</v>
      </c>
      <c r="R33" t="s">
        <v>856</v>
      </c>
      <c r="S33" t="s">
        <v>482</v>
      </c>
      <c r="T33" t="s">
        <v>857</v>
      </c>
    </row>
    <row r="34" spans="1:20" x14ac:dyDescent="0.15">
      <c r="A34">
        <v>1</v>
      </c>
      <c r="B34">
        <v>4406</v>
      </c>
      <c r="C34" t="s">
        <v>847</v>
      </c>
      <c r="D34">
        <v>75</v>
      </c>
      <c r="E34">
        <v>110</v>
      </c>
      <c r="F34">
        <v>3671</v>
      </c>
      <c r="G34">
        <v>-1094</v>
      </c>
      <c r="H34">
        <v>-442</v>
      </c>
      <c r="I34">
        <v>-321</v>
      </c>
      <c r="J34">
        <v>1207</v>
      </c>
      <c r="K34">
        <v>840</v>
      </c>
      <c r="L34">
        <v>-220</v>
      </c>
      <c r="M34">
        <v>710</v>
      </c>
      <c r="N34">
        <v>-75</v>
      </c>
      <c r="O34">
        <v>20</v>
      </c>
      <c r="P34">
        <v>0</v>
      </c>
      <c r="Q34">
        <v>-35</v>
      </c>
      <c r="R34">
        <v>-26</v>
      </c>
      <c r="S34">
        <v>-9</v>
      </c>
      <c r="T34">
        <v>-5</v>
      </c>
    </row>
    <row r="35" spans="1:20" x14ac:dyDescent="0.15">
      <c r="A35">
        <v>2</v>
      </c>
      <c r="B35">
        <v>3898</v>
      </c>
      <c r="C35" t="s">
        <v>825</v>
      </c>
      <c r="D35">
        <v>40</v>
      </c>
      <c r="E35">
        <v>10</v>
      </c>
      <c r="F35">
        <v>3503</v>
      </c>
      <c r="G35">
        <v>-1109</v>
      </c>
      <c r="H35">
        <v>-438</v>
      </c>
      <c r="I35">
        <v>-338</v>
      </c>
      <c r="J35">
        <v>1115</v>
      </c>
      <c r="K35">
        <v>800</v>
      </c>
      <c r="L35">
        <v>-270</v>
      </c>
      <c r="M35">
        <v>730</v>
      </c>
      <c r="N35">
        <v>-70</v>
      </c>
      <c r="O35">
        <v>0</v>
      </c>
      <c r="P35">
        <v>0</v>
      </c>
      <c r="Q35">
        <v>-41</v>
      </c>
      <c r="R35">
        <v>-25</v>
      </c>
      <c r="S35">
        <v>-9</v>
      </c>
      <c r="T35">
        <v>0</v>
      </c>
    </row>
    <row r="36" spans="1:20" x14ac:dyDescent="0.15">
      <c r="A36">
        <v>3</v>
      </c>
      <c r="B36">
        <v>3832</v>
      </c>
      <c r="C36" t="s">
        <v>848</v>
      </c>
      <c r="D36">
        <v>55</v>
      </c>
      <c r="E36">
        <v>20</v>
      </c>
      <c r="F36">
        <v>3421</v>
      </c>
      <c r="G36">
        <v>-1035</v>
      </c>
      <c r="H36">
        <v>-429</v>
      </c>
      <c r="I36">
        <v>-362</v>
      </c>
      <c r="J36">
        <v>1023</v>
      </c>
      <c r="K36">
        <v>670</v>
      </c>
      <c r="L36">
        <v>-305</v>
      </c>
      <c r="M36">
        <v>910</v>
      </c>
      <c r="N36">
        <v>-60</v>
      </c>
      <c r="O36">
        <v>20</v>
      </c>
      <c r="P36">
        <v>0</v>
      </c>
      <c r="Q36">
        <v>-54</v>
      </c>
      <c r="R36">
        <v>-22</v>
      </c>
      <c r="S36">
        <v>-19</v>
      </c>
      <c r="T36">
        <v>-1</v>
      </c>
    </row>
    <row r="37" spans="1:20" x14ac:dyDescent="0.15">
      <c r="A37">
        <v>4</v>
      </c>
      <c r="B37">
        <v>3775</v>
      </c>
      <c r="C37" t="s">
        <v>737</v>
      </c>
      <c r="D37">
        <v>60</v>
      </c>
      <c r="E37">
        <v>10</v>
      </c>
      <c r="F37">
        <v>3459</v>
      </c>
      <c r="G37">
        <v>-1017</v>
      </c>
      <c r="H37">
        <v>-433</v>
      </c>
      <c r="I37">
        <v>-365</v>
      </c>
      <c r="J37">
        <v>1002</v>
      </c>
      <c r="K37">
        <v>640</v>
      </c>
      <c r="L37">
        <v>-315</v>
      </c>
      <c r="M37">
        <v>850</v>
      </c>
      <c r="N37">
        <v>-20</v>
      </c>
      <c r="O37">
        <v>0</v>
      </c>
      <c r="P37">
        <v>0</v>
      </c>
      <c r="Q37">
        <v>-34</v>
      </c>
      <c r="R37">
        <v>-44</v>
      </c>
      <c r="S37">
        <v>-9</v>
      </c>
      <c r="T37">
        <v>-9</v>
      </c>
    </row>
    <row r="38" spans="1:20" x14ac:dyDescent="0.15">
      <c r="A38">
        <v>5</v>
      </c>
      <c r="B38">
        <v>3758</v>
      </c>
      <c r="C38" t="s">
        <v>595</v>
      </c>
      <c r="D38">
        <v>95</v>
      </c>
      <c r="E38">
        <v>80</v>
      </c>
      <c r="F38">
        <v>3547</v>
      </c>
      <c r="G38">
        <v>-1098</v>
      </c>
      <c r="H38">
        <v>-484</v>
      </c>
      <c r="I38">
        <v>-345</v>
      </c>
      <c r="J38">
        <v>995</v>
      </c>
      <c r="K38">
        <v>670</v>
      </c>
      <c r="L38">
        <v>-350</v>
      </c>
      <c r="M38">
        <v>790</v>
      </c>
      <c r="N38">
        <v>-55</v>
      </c>
      <c r="O38">
        <v>0</v>
      </c>
      <c r="P38">
        <v>0</v>
      </c>
      <c r="Q38">
        <v>-40</v>
      </c>
      <c r="R38">
        <v>-34</v>
      </c>
      <c r="S38">
        <v>-8</v>
      </c>
      <c r="T38">
        <v>-5</v>
      </c>
    </row>
    <row r="39" spans="1:20" x14ac:dyDescent="0.15">
      <c r="A39">
        <v>6</v>
      </c>
      <c r="B39">
        <v>3728</v>
      </c>
      <c r="C39" t="s">
        <v>845</v>
      </c>
      <c r="D39">
        <v>25</v>
      </c>
      <c r="E39">
        <v>30</v>
      </c>
      <c r="F39">
        <v>3408</v>
      </c>
      <c r="G39">
        <v>-1034</v>
      </c>
      <c r="H39">
        <v>-429</v>
      </c>
      <c r="I39">
        <v>-337</v>
      </c>
      <c r="J39">
        <v>890</v>
      </c>
      <c r="K39">
        <v>710</v>
      </c>
      <c r="L39">
        <v>-240</v>
      </c>
      <c r="M39">
        <v>850</v>
      </c>
      <c r="N39">
        <v>-60</v>
      </c>
      <c r="O39">
        <v>0</v>
      </c>
      <c r="P39">
        <v>0</v>
      </c>
      <c r="Q39">
        <v>-36</v>
      </c>
      <c r="R39">
        <v>-37</v>
      </c>
      <c r="S39">
        <v>-7</v>
      </c>
      <c r="T39">
        <v>-5</v>
      </c>
    </row>
    <row r="40" spans="1:20" x14ac:dyDescent="0.15">
      <c r="A40">
        <v>7</v>
      </c>
      <c r="B40">
        <v>3678</v>
      </c>
      <c r="C40" t="s">
        <v>731</v>
      </c>
      <c r="D40">
        <v>35</v>
      </c>
      <c r="E40">
        <v>40</v>
      </c>
      <c r="F40">
        <v>3467</v>
      </c>
      <c r="G40">
        <v>-1064</v>
      </c>
      <c r="H40">
        <v>-461</v>
      </c>
      <c r="I40">
        <v>-353</v>
      </c>
      <c r="J40">
        <v>994</v>
      </c>
      <c r="K40">
        <v>670</v>
      </c>
      <c r="L40">
        <v>-325</v>
      </c>
      <c r="M40">
        <v>820</v>
      </c>
      <c r="N40">
        <v>-60</v>
      </c>
      <c r="O40">
        <v>0</v>
      </c>
      <c r="P40">
        <v>0</v>
      </c>
      <c r="Q40">
        <v>-36</v>
      </c>
      <c r="R40">
        <v>-36</v>
      </c>
      <c r="S40">
        <v>-11</v>
      </c>
      <c r="T40">
        <v>-2</v>
      </c>
    </row>
    <row r="41" spans="1:20" x14ac:dyDescent="0.15">
      <c r="A41">
        <v>8</v>
      </c>
      <c r="B41">
        <v>3655</v>
      </c>
      <c r="C41" t="s">
        <v>830</v>
      </c>
      <c r="D41">
        <v>50</v>
      </c>
      <c r="E41">
        <v>30</v>
      </c>
      <c r="F41">
        <v>3478</v>
      </c>
      <c r="G41">
        <v>-1048</v>
      </c>
      <c r="H41">
        <v>-454</v>
      </c>
      <c r="I41">
        <v>-350</v>
      </c>
      <c r="J41">
        <v>1063</v>
      </c>
      <c r="K41">
        <v>780</v>
      </c>
      <c r="L41">
        <v>-285</v>
      </c>
      <c r="M41">
        <v>560</v>
      </c>
      <c r="N41">
        <v>-80</v>
      </c>
      <c r="O41">
        <v>0</v>
      </c>
      <c r="P41">
        <v>0</v>
      </c>
      <c r="Q41">
        <v>-39</v>
      </c>
      <c r="R41">
        <v>-41</v>
      </c>
      <c r="S41">
        <v>-7</v>
      </c>
      <c r="T41">
        <v>-2</v>
      </c>
    </row>
    <row r="42" spans="1:20" x14ac:dyDescent="0.15">
      <c r="A42">
        <v>9</v>
      </c>
      <c r="B42">
        <v>3574</v>
      </c>
      <c r="C42" t="s">
        <v>844</v>
      </c>
      <c r="D42">
        <v>25</v>
      </c>
      <c r="E42">
        <v>30</v>
      </c>
      <c r="F42">
        <v>3501</v>
      </c>
      <c r="G42">
        <v>-1051</v>
      </c>
      <c r="H42">
        <v>-429</v>
      </c>
      <c r="I42">
        <v>-401</v>
      </c>
      <c r="J42">
        <v>978</v>
      </c>
      <c r="K42">
        <v>770</v>
      </c>
      <c r="L42">
        <v>-300</v>
      </c>
      <c r="M42">
        <v>620</v>
      </c>
      <c r="N42">
        <v>-70</v>
      </c>
      <c r="O42">
        <v>0</v>
      </c>
      <c r="P42">
        <v>0</v>
      </c>
      <c r="Q42">
        <v>-43</v>
      </c>
      <c r="R42">
        <v>-40</v>
      </c>
      <c r="S42">
        <v>-11</v>
      </c>
      <c r="T42">
        <v>-5</v>
      </c>
    </row>
    <row r="43" spans="1:20" x14ac:dyDescent="0.15">
      <c r="A43">
        <v>10</v>
      </c>
      <c r="B43">
        <v>3304</v>
      </c>
      <c r="C43" t="s">
        <v>834</v>
      </c>
      <c r="D43">
        <v>35</v>
      </c>
      <c r="E43">
        <v>30</v>
      </c>
      <c r="F43">
        <v>3462</v>
      </c>
      <c r="G43">
        <v>-1083</v>
      </c>
      <c r="H43">
        <v>-488</v>
      </c>
      <c r="I43">
        <v>-354</v>
      </c>
      <c r="J43">
        <v>914</v>
      </c>
      <c r="K43">
        <v>660</v>
      </c>
      <c r="L43">
        <v>-310</v>
      </c>
      <c r="M43">
        <v>590</v>
      </c>
      <c r="N43">
        <v>-60</v>
      </c>
      <c r="O43">
        <v>0</v>
      </c>
      <c r="P43">
        <v>0</v>
      </c>
      <c r="Q43">
        <v>-32</v>
      </c>
      <c r="R43">
        <v>-40</v>
      </c>
      <c r="S43">
        <v>-16</v>
      </c>
      <c r="T43">
        <v>-4</v>
      </c>
    </row>
    <row r="44" spans="1:20" x14ac:dyDescent="0.15">
      <c r="A44">
        <v>11</v>
      </c>
      <c r="B44">
        <v>3281</v>
      </c>
      <c r="C44" t="s">
        <v>832</v>
      </c>
      <c r="D44">
        <v>20</v>
      </c>
      <c r="E44">
        <v>20</v>
      </c>
      <c r="F44">
        <v>3267</v>
      </c>
      <c r="G44">
        <v>-1019</v>
      </c>
      <c r="H44">
        <v>-492</v>
      </c>
      <c r="I44">
        <v>-398</v>
      </c>
      <c r="J44">
        <v>990</v>
      </c>
      <c r="K44">
        <v>740</v>
      </c>
      <c r="L44">
        <v>-295</v>
      </c>
      <c r="M44">
        <v>650</v>
      </c>
      <c r="N44">
        <v>-80</v>
      </c>
      <c r="O44">
        <v>0</v>
      </c>
      <c r="P44">
        <v>0</v>
      </c>
      <c r="Q44">
        <v>-60</v>
      </c>
      <c r="R44">
        <v>-49</v>
      </c>
      <c r="S44">
        <v>-10</v>
      </c>
      <c r="T44">
        <v>-3</v>
      </c>
    </row>
    <row r="45" spans="1:20" x14ac:dyDescent="0.15">
      <c r="A45">
        <v>12</v>
      </c>
      <c r="B45">
        <v>3206</v>
      </c>
      <c r="C45" t="s">
        <v>846</v>
      </c>
      <c r="D45">
        <v>25</v>
      </c>
      <c r="E45">
        <v>30</v>
      </c>
      <c r="F45">
        <v>3339</v>
      </c>
      <c r="G45">
        <v>-1092</v>
      </c>
      <c r="H45">
        <v>-506</v>
      </c>
      <c r="I45">
        <v>-304</v>
      </c>
      <c r="J45">
        <v>959</v>
      </c>
      <c r="K45">
        <v>550</v>
      </c>
      <c r="L45">
        <v>-370</v>
      </c>
      <c r="M45">
        <v>710</v>
      </c>
      <c r="N45">
        <v>-45</v>
      </c>
      <c r="O45">
        <v>0</v>
      </c>
      <c r="P45">
        <v>0</v>
      </c>
      <c r="Q45">
        <v>-26</v>
      </c>
      <c r="R45">
        <v>-46</v>
      </c>
      <c r="S45">
        <v>-17</v>
      </c>
      <c r="T45">
        <v>-1</v>
      </c>
    </row>
    <row r="47" spans="1:20" s="123" customFormat="1" ht="18" x14ac:dyDescent="0.2">
      <c r="A47" s="123" t="s">
        <v>858</v>
      </c>
    </row>
    <row r="48" spans="1:20" x14ac:dyDescent="0.15">
      <c r="A48" t="s">
        <v>859</v>
      </c>
      <c r="B48" t="s">
        <v>451</v>
      </c>
      <c r="C48" t="s">
        <v>452</v>
      </c>
      <c r="D48" t="s">
        <v>448</v>
      </c>
      <c r="E48" t="s">
        <v>860</v>
      </c>
      <c r="G48" t="s">
        <v>862</v>
      </c>
    </row>
    <row r="49" spans="1:7" x14ac:dyDescent="0.15">
      <c r="A49" t="s">
        <v>863</v>
      </c>
      <c r="B49" t="s">
        <v>834</v>
      </c>
      <c r="C49" t="s">
        <v>731</v>
      </c>
      <c r="D49" t="s">
        <v>864</v>
      </c>
      <c r="E49">
        <v>0</v>
      </c>
      <c r="F49" t="s">
        <v>865</v>
      </c>
      <c r="G49">
        <v>140</v>
      </c>
    </row>
    <row r="50" spans="1:7" x14ac:dyDescent="0.15">
      <c r="A50" t="s">
        <v>731</v>
      </c>
      <c r="B50" t="s">
        <v>834</v>
      </c>
      <c r="C50" t="s">
        <v>866</v>
      </c>
      <c r="D50">
        <v>140</v>
      </c>
    </row>
    <row r="51" spans="1:7" x14ac:dyDescent="0.15">
      <c r="A51" t="s">
        <v>731</v>
      </c>
      <c r="B51" t="s">
        <v>834</v>
      </c>
      <c r="C51" t="s">
        <v>867</v>
      </c>
      <c r="D51">
        <v>140</v>
      </c>
    </row>
    <row r="52" spans="1:7" x14ac:dyDescent="0.15">
      <c r="A52" t="s">
        <v>834</v>
      </c>
      <c r="B52" t="s">
        <v>731</v>
      </c>
      <c r="C52" t="s">
        <v>868</v>
      </c>
      <c r="D52">
        <v>140</v>
      </c>
    </row>
    <row r="53" spans="1:7" x14ac:dyDescent="0.15">
      <c r="A53" t="s">
        <v>869</v>
      </c>
      <c r="B53" t="s">
        <v>846</v>
      </c>
      <c r="C53" t="s">
        <v>731</v>
      </c>
      <c r="D53" t="s">
        <v>870</v>
      </c>
      <c r="E53">
        <v>2</v>
      </c>
      <c r="F53" t="s">
        <v>865</v>
      </c>
      <c r="G53">
        <v>138</v>
      </c>
    </row>
    <row r="54" spans="1:7" x14ac:dyDescent="0.15">
      <c r="A54" t="s">
        <v>731</v>
      </c>
      <c r="B54" t="s">
        <v>846</v>
      </c>
      <c r="C54" t="s">
        <v>871</v>
      </c>
      <c r="D54">
        <v>138</v>
      </c>
    </row>
    <row r="55" spans="1:7" x14ac:dyDescent="0.15">
      <c r="A55" t="s">
        <v>731</v>
      </c>
      <c r="B55" t="s">
        <v>846</v>
      </c>
      <c r="C55" t="s">
        <v>872</v>
      </c>
      <c r="D55">
        <v>138</v>
      </c>
    </row>
    <row r="56" spans="1:7" x14ac:dyDescent="0.15">
      <c r="A56" t="s">
        <v>846</v>
      </c>
      <c r="B56" t="s">
        <v>731</v>
      </c>
      <c r="C56" t="s">
        <v>873</v>
      </c>
      <c r="D56">
        <v>138</v>
      </c>
    </row>
    <row r="57" spans="1:7" x14ac:dyDescent="0.15">
      <c r="A57" t="s">
        <v>869</v>
      </c>
      <c r="B57" t="s">
        <v>731</v>
      </c>
      <c r="C57" t="s">
        <v>848</v>
      </c>
      <c r="D57" t="s">
        <v>874</v>
      </c>
      <c r="E57">
        <v>0</v>
      </c>
      <c r="F57" t="s">
        <v>865</v>
      </c>
      <c r="G57">
        <v>138</v>
      </c>
    </row>
    <row r="58" spans="1:7" x14ac:dyDescent="0.15">
      <c r="A58" t="s">
        <v>848</v>
      </c>
      <c r="B58" t="s">
        <v>731</v>
      </c>
      <c r="C58" t="s">
        <v>875</v>
      </c>
      <c r="D58">
        <v>138</v>
      </c>
    </row>
    <row r="59" spans="1:7" x14ac:dyDescent="0.15">
      <c r="A59" t="s">
        <v>876</v>
      </c>
      <c r="B59" t="s">
        <v>731</v>
      </c>
      <c r="C59" t="s">
        <v>848</v>
      </c>
      <c r="D59" t="s">
        <v>877</v>
      </c>
      <c r="E59">
        <v>0</v>
      </c>
      <c r="F59" t="s">
        <v>865</v>
      </c>
      <c r="G59">
        <v>137</v>
      </c>
    </row>
    <row r="60" spans="1:7" x14ac:dyDescent="0.15">
      <c r="A60" t="s">
        <v>848</v>
      </c>
      <c r="B60" t="s">
        <v>731</v>
      </c>
      <c r="C60" t="s">
        <v>878</v>
      </c>
      <c r="D60">
        <v>137</v>
      </c>
    </row>
    <row r="61" spans="1:7" x14ac:dyDescent="0.15">
      <c r="A61" t="s">
        <v>731</v>
      </c>
      <c r="B61" t="s">
        <v>848</v>
      </c>
      <c r="C61" t="s">
        <v>879</v>
      </c>
      <c r="D61">
        <v>137</v>
      </c>
    </row>
    <row r="62" spans="1:7" x14ac:dyDescent="0.15">
      <c r="A62" t="s">
        <v>848</v>
      </c>
      <c r="B62" t="s">
        <v>731</v>
      </c>
      <c r="C62" t="s">
        <v>880</v>
      </c>
      <c r="D62">
        <v>137</v>
      </c>
    </row>
    <row r="63" spans="1:7" x14ac:dyDescent="0.15">
      <c r="A63" t="s">
        <v>881</v>
      </c>
      <c r="B63" t="s">
        <v>845</v>
      </c>
      <c r="C63" t="s">
        <v>737</v>
      </c>
      <c r="D63" t="s">
        <v>882</v>
      </c>
      <c r="E63">
        <v>0</v>
      </c>
      <c r="F63" t="s">
        <v>865</v>
      </c>
      <c r="G63">
        <v>136</v>
      </c>
    </row>
    <row r="64" spans="1:7" x14ac:dyDescent="0.15">
      <c r="A64" t="s">
        <v>737</v>
      </c>
      <c r="B64" t="s">
        <v>845</v>
      </c>
      <c r="C64" t="s">
        <v>883</v>
      </c>
      <c r="D64">
        <v>136</v>
      </c>
    </row>
    <row r="65" spans="1:7" x14ac:dyDescent="0.15">
      <c r="A65" t="s">
        <v>737</v>
      </c>
      <c r="B65" t="s">
        <v>845</v>
      </c>
      <c r="C65" t="s">
        <v>884</v>
      </c>
      <c r="D65">
        <v>136</v>
      </c>
    </row>
    <row r="66" spans="1:7" x14ac:dyDescent="0.15">
      <c r="A66" t="s">
        <v>737</v>
      </c>
      <c r="B66" t="s">
        <v>845</v>
      </c>
      <c r="C66" t="s">
        <v>885</v>
      </c>
      <c r="D66">
        <v>136</v>
      </c>
    </row>
    <row r="67" spans="1:7" x14ac:dyDescent="0.15">
      <c r="A67" t="s">
        <v>845</v>
      </c>
      <c r="B67" t="s">
        <v>737</v>
      </c>
      <c r="C67" t="s">
        <v>886</v>
      </c>
      <c r="D67">
        <v>136</v>
      </c>
    </row>
    <row r="68" spans="1:7" x14ac:dyDescent="0.15">
      <c r="A68" t="s">
        <v>737</v>
      </c>
      <c r="B68" t="s">
        <v>845</v>
      </c>
      <c r="C68" t="s">
        <v>887</v>
      </c>
      <c r="D68">
        <v>136</v>
      </c>
    </row>
    <row r="69" spans="1:7" x14ac:dyDescent="0.15">
      <c r="A69" t="s">
        <v>845</v>
      </c>
      <c r="B69" t="s">
        <v>737</v>
      </c>
      <c r="C69" t="s">
        <v>888</v>
      </c>
      <c r="D69">
        <v>136</v>
      </c>
    </row>
    <row r="70" spans="1:7" x14ac:dyDescent="0.15">
      <c r="A70" t="s">
        <v>845</v>
      </c>
      <c r="B70" t="s">
        <v>737</v>
      </c>
      <c r="C70" t="s">
        <v>889</v>
      </c>
      <c r="D70">
        <v>136</v>
      </c>
    </row>
    <row r="71" spans="1:7" x14ac:dyDescent="0.15">
      <c r="A71" t="s">
        <v>890</v>
      </c>
      <c r="B71" t="s">
        <v>844</v>
      </c>
      <c r="C71" t="s">
        <v>731</v>
      </c>
      <c r="D71" t="s">
        <v>891</v>
      </c>
      <c r="E71">
        <v>0</v>
      </c>
      <c r="F71" t="s">
        <v>865</v>
      </c>
      <c r="G71">
        <v>120</v>
      </c>
    </row>
    <row r="72" spans="1:7" x14ac:dyDescent="0.15">
      <c r="A72" t="s">
        <v>731</v>
      </c>
      <c r="B72" t="s">
        <v>844</v>
      </c>
      <c r="C72" t="s">
        <v>892</v>
      </c>
      <c r="D72">
        <v>120</v>
      </c>
    </row>
    <row r="73" spans="1:7" x14ac:dyDescent="0.15">
      <c r="A73" t="s">
        <v>844</v>
      </c>
      <c r="B73" t="s">
        <v>731</v>
      </c>
      <c r="C73" t="s">
        <v>893</v>
      </c>
      <c r="D73">
        <v>120</v>
      </c>
    </row>
    <row r="74" spans="1:7" x14ac:dyDescent="0.15">
      <c r="A74" t="s">
        <v>731</v>
      </c>
      <c r="B74" t="s">
        <v>844</v>
      </c>
      <c r="C74" t="s">
        <v>894</v>
      </c>
      <c r="D74">
        <v>120</v>
      </c>
    </row>
    <row r="75" spans="1:7" x14ac:dyDescent="0.15">
      <c r="A75" t="s">
        <v>895</v>
      </c>
      <c r="B75" t="s">
        <v>731</v>
      </c>
      <c r="C75" t="s">
        <v>848</v>
      </c>
      <c r="D75" t="s">
        <v>875</v>
      </c>
      <c r="E75">
        <v>0</v>
      </c>
      <c r="F75" t="s">
        <v>865</v>
      </c>
      <c r="G75">
        <v>110</v>
      </c>
    </row>
    <row r="76" spans="1:7" x14ac:dyDescent="0.15">
      <c r="A76" t="s">
        <v>848</v>
      </c>
      <c r="B76" t="s">
        <v>731</v>
      </c>
      <c r="C76" t="s">
        <v>896</v>
      </c>
      <c r="D76">
        <v>110</v>
      </c>
    </row>
    <row r="77" spans="1:7" x14ac:dyDescent="0.15">
      <c r="A77" t="s">
        <v>731</v>
      </c>
      <c r="B77" t="s">
        <v>848</v>
      </c>
      <c r="C77" t="s">
        <v>897</v>
      </c>
      <c r="D77">
        <v>110</v>
      </c>
    </row>
    <row r="78" spans="1:7" x14ac:dyDescent="0.15">
      <c r="A78" t="s">
        <v>848</v>
      </c>
      <c r="B78" t="s">
        <v>731</v>
      </c>
      <c r="C78" t="s">
        <v>898</v>
      </c>
      <c r="D78">
        <v>110</v>
      </c>
    </row>
    <row r="79" spans="1:7" x14ac:dyDescent="0.15">
      <c r="A79" t="s">
        <v>731</v>
      </c>
      <c r="B79" t="s">
        <v>848</v>
      </c>
      <c r="C79" t="s">
        <v>899</v>
      </c>
      <c r="D79">
        <v>110</v>
      </c>
    </row>
    <row r="80" spans="1:7" x14ac:dyDescent="0.15">
      <c r="A80" t="s">
        <v>848</v>
      </c>
      <c r="B80" t="s">
        <v>731</v>
      </c>
      <c r="C80" t="s">
        <v>900</v>
      </c>
      <c r="D80">
        <v>110</v>
      </c>
    </row>
    <row r="81" spans="1:7" x14ac:dyDescent="0.15">
      <c r="A81" t="s">
        <v>901</v>
      </c>
      <c r="B81" t="s">
        <v>844</v>
      </c>
      <c r="C81" t="s">
        <v>825</v>
      </c>
      <c r="D81" t="s">
        <v>902</v>
      </c>
      <c r="E81">
        <v>0</v>
      </c>
      <c r="F81" t="s">
        <v>865</v>
      </c>
      <c r="G81">
        <v>108</v>
      </c>
    </row>
    <row r="82" spans="1:7" x14ac:dyDescent="0.15">
      <c r="A82" t="s">
        <v>825</v>
      </c>
      <c r="B82" t="s">
        <v>844</v>
      </c>
      <c r="C82" t="s">
        <v>903</v>
      </c>
      <c r="D82">
        <v>108</v>
      </c>
    </row>
    <row r="83" spans="1:7" x14ac:dyDescent="0.15">
      <c r="A83" t="s">
        <v>825</v>
      </c>
      <c r="B83" t="s">
        <v>844</v>
      </c>
      <c r="C83" t="s">
        <v>904</v>
      </c>
      <c r="D83">
        <v>108</v>
      </c>
    </row>
    <row r="84" spans="1:7" x14ac:dyDescent="0.15">
      <c r="A84" t="s">
        <v>825</v>
      </c>
      <c r="B84" t="s">
        <v>844</v>
      </c>
      <c r="C84" t="s">
        <v>905</v>
      </c>
      <c r="D84">
        <v>108</v>
      </c>
    </row>
    <row r="85" spans="1:7" x14ac:dyDescent="0.15">
      <c r="A85" t="s">
        <v>844</v>
      </c>
      <c r="B85" t="s">
        <v>825</v>
      </c>
      <c r="C85" t="s">
        <v>906</v>
      </c>
      <c r="D85">
        <v>108</v>
      </c>
    </row>
    <row r="86" spans="1:7" x14ac:dyDescent="0.15">
      <c r="A86" t="s">
        <v>825</v>
      </c>
      <c r="B86" t="s">
        <v>844</v>
      </c>
      <c r="C86" t="s">
        <v>907</v>
      </c>
      <c r="D86">
        <v>108</v>
      </c>
    </row>
    <row r="87" spans="1:7" x14ac:dyDescent="0.15">
      <c r="A87" t="s">
        <v>825</v>
      </c>
      <c r="B87" t="s">
        <v>844</v>
      </c>
      <c r="C87" t="s">
        <v>908</v>
      </c>
      <c r="D87">
        <v>108</v>
      </c>
    </row>
    <row r="88" spans="1:7" x14ac:dyDescent="0.15">
      <c r="A88" t="s">
        <v>844</v>
      </c>
      <c r="B88" t="s">
        <v>825</v>
      </c>
      <c r="C88" t="s">
        <v>909</v>
      </c>
      <c r="D88">
        <v>108</v>
      </c>
    </row>
    <row r="89" spans="1:7" x14ac:dyDescent="0.15">
      <c r="A89" t="s">
        <v>844</v>
      </c>
      <c r="B89" t="s">
        <v>825</v>
      </c>
      <c r="C89" t="s">
        <v>910</v>
      </c>
      <c r="D89">
        <v>108</v>
      </c>
    </row>
    <row r="90" spans="1:7" x14ac:dyDescent="0.15">
      <c r="A90" t="s">
        <v>844</v>
      </c>
      <c r="B90" t="s">
        <v>825</v>
      </c>
      <c r="C90" t="s">
        <v>911</v>
      </c>
      <c r="D90">
        <v>108</v>
      </c>
    </row>
    <row r="91" spans="1:7" x14ac:dyDescent="0.15">
      <c r="A91" t="s">
        <v>912</v>
      </c>
      <c r="B91" t="s">
        <v>846</v>
      </c>
      <c r="C91" t="s">
        <v>847</v>
      </c>
      <c r="D91" t="s">
        <v>913</v>
      </c>
      <c r="E91">
        <v>0</v>
      </c>
      <c r="F91" t="s">
        <v>865</v>
      </c>
      <c r="G91">
        <v>100</v>
      </c>
    </row>
    <row r="92" spans="1:7" x14ac:dyDescent="0.15">
      <c r="A92" t="s">
        <v>847</v>
      </c>
      <c r="B92" t="s">
        <v>846</v>
      </c>
      <c r="C92" t="s">
        <v>914</v>
      </c>
      <c r="D92">
        <v>100</v>
      </c>
    </row>
    <row r="93" spans="1:7" x14ac:dyDescent="0.15">
      <c r="A93" t="s">
        <v>847</v>
      </c>
      <c r="B93" t="s">
        <v>846</v>
      </c>
      <c r="C93" t="s">
        <v>915</v>
      </c>
      <c r="D93">
        <v>100</v>
      </c>
    </row>
    <row r="94" spans="1:7" x14ac:dyDescent="0.15">
      <c r="A94" t="s">
        <v>846</v>
      </c>
      <c r="B94" t="s">
        <v>847</v>
      </c>
      <c r="C94" t="s">
        <v>916</v>
      </c>
      <c r="D94">
        <v>100</v>
      </c>
    </row>
    <row r="95" spans="1:7" x14ac:dyDescent="0.15">
      <c r="A95" t="s">
        <v>917</v>
      </c>
      <c r="B95" t="s">
        <v>847</v>
      </c>
      <c r="C95" t="s">
        <v>848</v>
      </c>
      <c r="D95" t="s">
        <v>918</v>
      </c>
      <c r="E95">
        <v>0</v>
      </c>
      <c r="F95" t="s">
        <v>865</v>
      </c>
      <c r="G95">
        <v>99</v>
      </c>
    </row>
    <row r="96" spans="1:7" x14ac:dyDescent="0.15">
      <c r="A96" t="s">
        <v>848</v>
      </c>
      <c r="B96" t="s">
        <v>847</v>
      </c>
      <c r="C96" t="s">
        <v>919</v>
      </c>
      <c r="D96">
        <v>99</v>
      </c>
    </row>
    <row r="97" spans="1:7" x14ac:dyDescent="0.15">
      <c r="A97" t="s">
        <v>847</v>
      </c>
      <c r="B97" t="s">
        <v>848</v>
      </c>
      <c r="C97" t="s">
        <v>920</v>
      </c>
      <c r="D97">
        <v>99</v>
      </c>
    </row>
    <row r="98" spans="1:7" x14ac:dyDescent="0.15">
      <c r="A98" t="s">
        <v>848</v>
      </c>
      <c r="B98" t="s">
        <v>847</v>
      </c>
      <c r="C98" t="s">
        <v>921</v>
      </c>
      <c r="D98">
        <v>99</v>
      </c>
    </row>
    <row r="99" spans="1:7" x14ac:dyDescent="0.15">
      <c r="A99" t="s">
        <v>848</v>
      </c>
      <c r="B99" t="s">
        <v>847</v>
      </c>
      <c r="C99" t="s">
        <v>922</v>
      </c>
      <c r="D99">
        <v>99</v>
      </c>
    </row>
    <row r="100" spans="1:7" x14ac:dyDescent="0.15">
      <c r="A100" t="s">
        <v>847</v>
      </c>
      <c r="B100" t="s">
        <v>848</v>
      </c>
      <c r="C100" t="s">
        <v>923</v>
      </c>
      <c r="D100">
        <v>99</v>
      </c>
    </row>
    <row r="101" spans="1:7" x14ac:dyDescent="0.15">
      <c r="A101" t="s">
        <v>848</v>
      </c>
      <c r="B101" t="s">
        <v>847</v>
      </c>
      <c r="C101" t="s">
        <v>924</v>
      </c>
      <c r="D101">
        <v>99</v>
      </c>
    </row>
    <row r="102" spans="1:7" x14ac:dyDescent="0.15">
      <c r="A102" t="s">
        <v>847</v>
      </c>
      <c r="B102" t="s">
        <v>848</v>
      </c>
      <c r="C102" t="s">
        <v>925</v>
      </c>
      <c r="D102">
        <v>99</v>
      </c>
    </row>
    <row r="103" spans="1:7" x14ac:dyDescent="0.15">
      <c r="A103" t="s">
        <v>926</v>
      </c>
      <c r="B103" t="s">
        <v>846</v>
      </c>
      <c r="C103" t="s">
        <v>845</v>
      </c>
      <c r="D103" t="s">
        <v>927</v>
      </c>
      <c r="E103">
        <v>0</v>
      </c>
      <c r="F103" t="s">
        <v>865</v>
      </c>
      <c r="G103">
        <v>97</v>
      </c>
    </row>
    <row r="104" spans="1:7" x14ac:dyDescent="0.15">
      <c r="A104" t="s">
        <v>845</v>
      </c>
      <c r="B104" t="s">
        <v>846</v>
      </c>
      <c r="C104" t="s">
        <v>928</v>
      </c>
      <c r="D104">
        <v>97</v>
      </c>
    </row>
    <row r="105" spans="1:7" x14ac:dyDescent="0.15">
      <c r="A105" t="s">
        <v>845</v>
      </c>
      <c r="B105" t="s">
        <v>846</v>
      </c>
      <c r="C105" t="s">
        <v>929</v>
      </c>
      <c r="D105">
        <v>97</v>
      </c>
    </row>
    <row r="106" spans="1:7" x14ac:dyDescent="0.15">
      <c r="A106" t="s">
        <v>846</v>
      </c>
      <c r="B106" t="s">
        <v>845</v>
      </c>
      <c r="C106" t="s">
        <v>930</v>
      </c>
      <c r="D106">
        <v>97</v>
      </c>
    </row>
    <row r="107" spans="1:7" x14ac:dyDescent="0.15">
      <c r="A107" t="s">
        <v>931</v>
      </c>
      <c r="B107" t="s">
        <v>832</v>
      </c>
      <c r="C107" t="s">
        <v>737</v>
      </c>
      <c r="D107" t="s">
        <v>932</v>
      </c>
      <c r="E107">
        <v>0</v>
      </c>
      <c r="F107" t="s">
        <v>865</v>
      </c>
      <c r="G107">
        <v>89</v>
      </c>
    </row>
    <row r="108" spans="1:7" x14ac:dyDescent="0.15">
      <c r="A108" t="s">
        <v>832</v>
      </c>
      <c r="B108" t="s">
        <v>737</v>
      </c>
      <c r="C108" t="s">
        <v>933</v>
      </c>
      <c r="D108">
        <v>89</v>
      </c>
    </row>
    <row r="109" spans="1:7" x14ac:dyDescent="0.15">
      <c r="A109" t="s">
        <v>737</v>
      </c>
      <c r="B109" t="s">
        <v>832</v>
      </c>
      <c r="C109" t="s">
        <v>934</v>
      </c>
      <c r="D109">
        <v>89</v>
      </c>
    </row>
    <row r="110" spans="1:7" x14ac:dyDescent="0.15">
      <c r="A110" t="s">
        <v>737</v>
      </c>
      <c r="B110" t="s">
        <v>832</v>
      </c>
      <c r="C110" t="s">
        <v>935</v>
      </c>
      <c r="D110">
        <v>89</v>
      </c>
    </row>
    <row r="111" spans="1:7" x14ac:dyDescent="0.15">
      <c r="A111" t="s">
        <v>936</v>
      </c>
      <c r="B111" t="s">
        <v>847</v>
      </c>
      <c r="C111" t="s">
        <v>844</v>
      </c>
      <c r="D111" t="s">
        <v>937</v>
      </c>
      <c r="E111">
        <v>0</v>
      </c>
      <c r="F111" t="s">
        <v>865</v>
      </c>
      <c r="G111">
        <v>88</v>
      </c>
    </row>
    <row r="112" spans="1:7" x14ac:dyDescent="0.15">
      <c r="A112" t="s">
        <v>844</v>
      </c>
      <c r="B112" t="s">
        <v>847</v>
      </c>
      <c r="C112" t="s">
        <v>938</v>
      </c>
      <c r="D112">
        <v>88</v>
      </c>
    </row>
    <row r="113" spans="1:7" x14ac:dyDescent="0.15">
      <c r="A113" t="s">
        <v>936</v>
      </c>
      <c r="B113" t="s">
        <v>848</v>
      </c>
      <c r="C113" t="s">
        <v>825</v>
      </c>
      <c r="D113" t="s">
        <v>939</v>
      </c>
      <c r="E113">
        <v>0</v>
      </c>
      <c r="F113" t="s">
        <v>865</v>
      </c>
      <c r="G113">
        <v>88</v>
      </c>
    </row>
    <row r="114" spans="1:7" x14ac:dyDescent="0.15">
      <c r="A114" t="s">
        <v>825</v>
      </c>
      <c r="B114" t="s">
        <v>848</v>
      </c>
      <c r="C114" t="s">
        <v>940</v>
      </c>
      <c r="D114">
        <v>88</v>
      </c>
    </row>
    <row r="115" spans="1:7" x14ac:dyDescent="0.15">
      <c r="A115" t="s">
        <v>848</v>
      </c>
      <c r="B115" t="s">
        <v>825</v>
      </c>
      <c r="C115" t="s">
        <v>941</v>
      </c>
      <c r="D115">
        <v>88</v>
      </c>
    </row>
    <row r="116" spans="1:7" x14ac:dyDescent="0.15">
      <c r="A116" t="s">
        <v>825</v>
      </c>
      <c r="B116" t="s">
        <v>848</v>
      </c>
      <c r="C116" t="s">
        <v>898</v>
      </c>
      <c r="D116">
        <v>88</v>
      </c>
    </row>
    <row r="117" spans="1:7" x14ac:dyDescent="0.15">
      <c r="A117" t="s">
        <v>825</v>
      </c>
      <c r="B117" t="s">
        <v>848</v>
      </c>
      <c r="C117" t="s">
        <v>942</v>
      </c>
      <c r="D117">
        <v>88</v>
      </c>
    </row>
    <row r="118" spans="1:7" x14ac:dyDescent="0.15">
      <c r="A118" t="s">
        <v>848</v>
      </c>
      <c r="B118" t="s">
        <v>825</v>
      </c>
      <c r="C118" t="s">
        <v>943</v>
      </c>
      <c r="D118">
        <v>88</v>
      </c>
    </row>
    <row r="119" spans="1:7" x14ac:dyDescent="0.15">
      <c r="A119" t="s">
        <v>825</v>
      </c>
      <c r="B119" t="s">
        <v>848</v>
      </c>
      <c r="C119" t="s">
        <v>944</v>
      </c>
      <c r="D119">
        <v>88</v>
      </c>
    </row>
    <row r="120" spans="1:7" x14ac:dyDescent="0.15">
      <c r="A120" t="s">
        <v>825</v>
      </c>
      <c r="B120" t="s">
        <v>848</v>
      </c>
      <c r="C120" t="s">
        <v>945</v>
      </c>
      <c r="D120">
        <v>88</v>
      </c>
    </row>
    <row r="121" spans="1:7" x14ac:dyDescent="0.15">
      <c r="A121" t="s">
        <v>848</v>
      </c>
      <c r="B121" t="s">
        <v>825</v>
      </c>
      <c r="C121" t="s">
        <v>946</v>
      </c>
      <c r="D121">
        <v>88</v>
      </c>
    </row>
    <row r="122" spans="1:7" x14ac:dyDescent="0.15">
      <c r="A122" t="s">
        <v>825</v>
      </c>
      <c r="B122" t="s">
        <v>848</v>
      </c>
      <c r="C122" t="s">
        <v>947</v>
      </c>
      <c r="D122">
        <v>88</v>
      </c>
    </row>
    <row r="123" spans="1:7" x14ac:dyDescent="0.15">
      <c r="A123" t="s">
        <v>848</v>
      </c>
      <c r="B123" t="s">
        <v>825</v>
      </c>
      <c r="C123" t="s">
        <v>948</v>
      </c>
      <c r="D123">
        <v>88</v>
      </c>
    </row>
    <row r="124" spans="1:7" x14ac:dyDescent="0.15">
      <c r="A124" t="s">
        <v>848</v>
      </c>
      <c r="B124" t="s">
        <v>825</v>
      </c>
      <c r="C124" t="s">
        <v>949</v>
      </c>
      <c r="D124">
        <v>88</v>
      </c>
    </row>
    <row r="125" spans="1:7" x14ac:dyDescent="0.15">
      <c r="A125" t="s">
        <v>950</v>
      </c>
      <c r="B125" t="s">
        <v>737</v>
      </c>
      <c r="C125" t="s">
        <v>832</v>
      </c>
      <c r="D125" t="s">
        <v>951</v>
      </c>
      <c r="E125">
        <v>0</v>
      </c>
      <c r="F125" t="s">
        <v>865</v>
      </c>
      <c r="G125">
        <v>87</v>
      </c>
    </row>
    <row r="126" spans="1:7" x14ac:dyDescent="0.15">
      <c r="A126" t="s">
        <v>737</v>
      </c>
      <c r="B126" t="s">
        <v>832</v>
      </c>
      <c r="C126" t="s">
        <v>952</v>
      </c>
      <c r="D126">
        <v>87</v>
      </c>
    </row>
    <row r="127" spans="1:7" x14ac:dyDescent="0.15">
      <c r="A127" t="s">
        <v>832</v>
      </c>
      <c r="B127" t="s">
        <v>737</v>
      </c>
      <c r="C127" t="s">
        <v>953</v>
      </c>
      <c r="D127">
        <v>87</v>
      </c>
    </row>
    <row r="128" spans="1:7" x14ac:dyDescent="0.15">
      <c r="A128" t="s">
        <v>737</v>
      </c>
      <c r="B128" t="s">
        <v>832</v>
      </c>
      <c r="C128" t="s">
        <v>954</v>
      </c>
      <c r="D128">
        <v>87</v>
      </c>
    </row>
    <row r="129" spans="1:7" x14ac:dyDescent="0.15">
      <c r="A129" t="s">
        <v>832</v>
      </c>
      <c r="B129" t="s">
        <v>737</v>
      </c>
      <c r="C129" t="s">
        <v>955</v>
      </c>
      <c r="D129">
        <v>87</v>
      </c>
    </row>
    <row r="130" spans="1:7" x14ac:dyDescent="0.15">
      <c r="A130" t="s">
        <v>832</v>
      </c>
      <c r="B130" t="s">
        <v>737</v>
      </c>
      <c r="C130" t="s">
        <v>885</v>
      </c>
      <c r="D130">
        <v>87</v>
      </c>
    </row>
    <row r="131" spans="1:7" x14ac:dyDescent="0.15">
      <c r="A131" t="s">
        <v>737</v>
      </c>
      <c r="B131" t="s">
        <v>832</v>
      </c>
      <c r="C131" t="s">
        <v>956</v>
      </c>
      <c r="D131">
        <v>87</v>
      </c>
    </row>
    <row r="132" spans="1:7" x14ac:dyDescent="0.15">
      <c r="A132" t="s">
        <v>832</v>
      </c>
      <c r="B132" t="s">
        <v>737</v>
      </c>
      <c r="C132" t="s">
        <v>957</v>
      </c>
      <c r="D132">
        <v>87</v>
      </c>
    </row>
    <row r="133" spans="1:7" x14ac:dyDescent="0.15">
      <c r="A133" t="s">
        <v>958</v>
      </c>
      <c r="B133" t="s">
        <v>731</v>
      </c>
      <c r="C133" t="s">
        <v>846</v>
      </c>
      <c r="D133" t="s">
        <v>959</v>
      </c>
      <c r="E133">
        <v>0</v>
      </c>
      <c r="F133" t="s">
        <v>865</v>
      </c>
      <c r="G133">
        <v>86</v>
      </c>
    </row>
    <row r="134" spans="1:7" x14ac:dyDescent="0.15">
      <c r="A134" t="s">
        <v>846</v>
      </c>
      <c r="B134" t="s">
        <v>731</v>
      </c>
      <c r="C134" t="s">
        <v>960</v>
      </c>
      <c r="D134">
        <v>86</v>
      </c>
    </row>
    <row r="135" spans="1:7" x14ac:dyDescent="0.15">
      <c r="A135" t="s">
        <v>846</v>
      </c>
      <c r="B135" t="s">
        <v>731</v>
      </c>
      <c r="C135" t="s">
        <v>961</v>
      </c>
      <c r="D135">
        <v>86</v>
      </c>
    </row>
    <row r="136" spans="1:7" x14ac:dyDescent="0.15">
      <c r="A136" t="s">
        <v>846</v>
      </c>
      <c r="B136" t="s">
        <v>731</v>
      </c>
      <c r="C136" t="s">
        <v>962</v>
      </c>
      <c r="D136">
        <v>86</v>
      </c>
    </row>
    <row r="137" spans="1:7" x14ac:dyDescent="0.15">
      <c r="A137" t="s">
        <v>731</v>
      </c>
      <c r="B137" t="s">
        <v>846</v>
      </c>
      <c r="C137" t="s">
        <v>963</v>
      </c>
      <c r="D137">
        <v>86</v>
      </c>
    </row>
    <row r="138" spans="1:7" x14ac:dyDescent="0.15">
      <c r="A138" t="s">
        <v>731</v>
      </c>
      <c r="B138" t="s">
        <v>846</v>
      </c>
      <c r="C138" t="s">
        <v>964</v>
      </c>
      <c r="D138">
        <v>86</v>
      </c>
    </row>
    <row r="139" spans="1:7" x14ac:dyDescent="0.15">
      <c r="A139" t="s">
        <v>846</v>
      </c>
      <c r="B139" t="s">
        <v>731</v>
      </c>
      <c r="C139" t="s">
        <v>965</v>
      </c>
      <c r="D139">
        <v>86</v>
      </c>
    </row>
    <row r="140" spans="1:7" x14ac:dyDescent="0.15">
      <c r="A140" t="s">
        <v>846</v>
      </c>
      <c r="B140" t="s">
        <v>731</v>
      </c>
      <c r="C140" t="s">
        <v>966</v>
      </c>
      <c r="D140">
        <v>86</v>
      </c>
    </row>
    <row r="141" spans="1:7" x14ac:dyDescent="0.15">
      <c r="A141" t="s">
        <v>731</v>
      </c>
      <c r="B141" t="s">
        <v>846</v>
      </c>
      <c r="C141" t="s">
        <v>967</v>
      </c>
      <c r="D141">
        <v>86</v>
      </c>
    </row>
    <row r="142" spans="1:7" x14ac:dyDescent="0.15">
      <c r="A142" t="s">
        <v>731</v>
      </c>
      <c r="B142" t="s">
        <v>846</v>
      </c>
      <c r="C142" t="s">
        <v>968</v>
      </c>
      <c r="D142">
        <v>86</v>
      </c>
    </row>
    <row r="143" spans="1:7" x14ac:dyDescent="0.15">
      <c r="A143" t="s">
        <v>958</v>
      </c>
      <c r="B143" t="s">
        <v>832</v>
      </c>
      <c r="C143" t="s">
        <v>848</v>
      </c>
      <c r="D143" t="s">
        <v>969</v>
      </c>
      <c r="E143">
        <v>0</v>
      </c>
      <c r="F143" t="s">
        <v>865</v>
      </c>
      <c r="G143">
        <v>86</v>
      </c>
    </row>
    <row r="144" spans="1:7" x14ac:dyDescent="0.15">
      <c r="A144" t="s">
        <v>848</v>
      </c>
      <c r="B144" t="s">
        <v>832</v>
      </c>
      <c r="C144" t="s">
        <v>932</v>
      </c>
      <c r="D144">
        <v>86</v>
      </c>
    </row>
    <row r="145" spans="1:7" x14ac:dyDescent="0.15">
      <c r="A145" t="s">
        <v>970</v>
      </c>
      <c r="B145" t="s">
        <v>825</v>
      </c>
      <c r="C145" t="s">
        <v>830</v>
      </c>
      <c r="D145" t="s">
        <v>971</v>
      </c>
      <c r="E145">
        <v>0</v>
      </c>
      <c r="F145" t="s">
        <v>865</v>
      </c>
      <c r="G145">
        <v>72</v>
      </c>
    </row>
    <row r="146" spans="1:7" x14ac:dyDescent="0.15">
      <c r="A146" t="s">
        <v>830</v>
      </c>
      <c r="B146" t="s">
        <v>825</v>
      </c>
      <c r="C146" t="s">
        <v>972</v>
      </c>
      <c r="D146">
        <v>72</v>
      </c>
    </row>
    <row r="147" spans="1:7" x14ac:dyDescent="0.15">
      <c r="A147" t="s">
        <v>973</v>
      </c>
      <c r="B147" t="s">
        <v>846</v>
      </c>
      <c r="C147" t="s">
        <v>825</v>
      </c>
      <c r="D147" t="s">
        <v>974</v>
      </c>
      <c r="E147">
        <v>0</v>
      </c>
      <c r="F147" t="s">
        <v>865</v>
      </c>
      <c r="G147">
        <v>60</v>
      </c>
    </row>
    <row r="148" spans="1:7" x14ac:dyDescent="0.15">
      <c r="A148" t="s">
        <v>825</v>
      </c>
      <c r="B148" t="s">
        <v>846</v>
      </c>
      <c r="C148" t="s">
        <v>975</v>
      </c>
      <c r="D148">
        <v>60</v>
      </c>
    </row>
    <row r="149" spans="1:7" x14ac:dyDescent="0.15">
      <c r="A149" t="s">
        <v>976</v>
      </c>
      <c r="B149" t="s">
        <v>848</v>
      </c>
      <c r="C149" t="s">
        <v>832</v>
      </c>
      <c r="D149" t="s">
        <v>977</v>
      </c>
      <c r="E149">
        <v>0</v>
      </c>
      <c r="F149" t="s">
        <v>865</v>
      </c>
      <c r="G149">
        <v>51</v>
      </c>
    </row>
    <row r="150" spans="1:7" x14ac:dyDescent="0.15">
      <c r="A150" t="s">
        <v>832</v>
      </c>
      <c r="B150" t="s">
        <v>848</v>
      </c>
      <c r="C150" t="s">
        <v>924</v>
      </c>
      <c r="D150">
        <v>51</v>
      </c>
    </row>
  </sheetData>
  <pageMargins left="0.7" right="0.7" top="0.75" bottom="0.75" header="0.5" footer="0.5"/>
  <pageSetup orientation="portrait" horizontalDpi="4294967292" verticalDpi="429496729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T148"/>
  <sheetViews>
    <sheetView workbookViewId="0">
      <selection sqref="A1:XFD1"/>
    </sheetView>
  </sheetViews>
  <sheetFormatPr baseColWidth="10" defaultRowHeight="13" x14ac:dyDescent="0.15"/>
  <cols>
    <col min="1" max="1" width="21.33203125" customWidth="1"/>
    <col min="2" max="2" width="19.5" customWidth="1"/>
  </cols>
  <sheetData>
    <row r="1" spans="1:5" s="105" customFormat="1" ht="18" x14ac:dyDescent="0.2">
      <c r="A1" s="105" t="s">
        <v>787</v>
      </c>
      <c r="B1" s="105" t="s">
        <v>30</v>
      </c>
      <c r="C1" s="105" t="s">
        <v>651</v>
      </c>
      <c r="D1" s="105" t="s">
        <v>176</v>
      </c>
      <c r="E1" s="105" t="s">
        <v>177</v>
      </c>
    </row>
    <row r="2" spans="1:5" x14ac:dyDescent="0.15">
      <c r="A2" t="s">
        <v>731</v>
      </c>
      <c r="B2" t="s">
        <v>797</v>
      </c>
      <c r="C2">
        <v>8235</v>
      </c>
    </row>
    <row r="3" spans="1:5" x14ac:dyDescent="0.15">
      <c r="A3" t="s">
        <v>978</v>
      </c>
      <c r="B3" t="s">
        <v>801</v>
      </c>
      <c r="C3">
        <v>7998</v>
      </c>
    </row>
    <row r="4" spans="1:5" x14ac:dyDescent="0.15">
      <c r="A4" t="s">
        <v>979</v>
      </c>
      <c r="B4" t="s">
        <v>828</v>
      </c>
      <c r="C4">
        <v>7935</v>
      </c>
    </row>
    <row r="5" spans="1:5" x14ac:dyDescent="0.15">
      <c r="A5" t="s">
        <v>980</v>
      </c>
      <c r="B5" t="s">
        <v>768</v>
      </c>
      <c r="C5">
        <v>7865</v>
      </c>
    </row>
    <row r="6" spans="1:5" x14ac:dyDescent="0.15">
      <c r="A6" t="s">
        <v>981</v>
      </c>
      <c r="B6" t="s">
        <v>803</v>
      </c>
      <c r="C6">
        <v>7694</v>
      </c>
    </row>
    <row r="7" spans="1:5" x14ac:dyDescent="0.15">
      <c r="A7" t="s">
        <v>781</v>
      </c>
      <c r="B7" t="s">
        <v>805</v>
      </c>
      <c r="C7">
        <v>7632</v>
      </c>
    </row>
    <row r="8" spans="1:5" x14ac:dyDescent="0.15">
      <c r="A8" t="s">
        <v>829</v>
      </c>
      <c r="B8" t="s">
        <v>736</v>
      </c>
      <c r="C8">
        <v>7464</v>
      </c>
    </row>
    <row r="9" spans="1:5" x14ac:dyDescent="0.15">
      <c r="A9" t="s">
        <v>737</v>
      </c>
      <c r="B9" t="s">
        <v>719</v>
      </c>
      <c r="C9">
        <v>7406</v>
      </c>
    </row>
    <row r="10" spans="1:5" x14ac:dyDescent="0.15">
      <c r="A10" t="s">
        <v>830</v>
      </c>
      <c r="B10" t="s">
        <v>721</v>
      </c>
      <c r="C10">
        <v>7274</v>
      </c>
    </row>
    <row r="11" spans="1:5" x14ac:dyDescent="0.15">
      <c r="A11" t="s">
        <v>982</v>
      </c>
      <c r="B11" t="s">
        <v>835</v>
      </c>
      <c r="C11">
        <v>7133</v>
      </c>
    </row>
    <row r="12" spans="1:5" x14ac:dyDescent="0.15">
      <c r="A12" t="s">
        <v>983</v>
      </c>
      <c r="B12" t="s">
        <v>984</v>
      </c>
      <c r="C12">
        <v>7087</v>
      </c>
    </row>
    <row r="13" spans="1:5" x14ac:dyDescent="0.15">
      <c r="A13" t="s">
        <v>985</v>
      </c>
      <c r="B13" t="s">
        <v>986</v>
      </c>
      <c r="C13">
        <v>6687</v>
      </c>
    </row>
    <row r="15" spans="1:5" x14ac:dyDescent="0.15">
      <c r="A15" s="1" t="s">
        <v>987</v>
      </c>
    </row>
    <row r="17" spans="1:19" ht="18" x14ac:dyDescent="0.2">
      <c r="A17" s="121" t="s">
        <v>836</v>
      </c>
    </row>
    <row r="18" spans="1:19" x14ac:dyDescent="0.15">
      <c r="A18" t="s">
        <v>659</v>
      </c>
      <c r="B18" t="s">
        <v>837</v>
      </c>
      <c r="C18" t="s">
        <v>787</v>
      </c>
      <c r="D18" t="s">
        <v>684</v>
      </c>
      <c r="E18" t="s">
        <v>2</v>
      </c>
      <c r="F18" t="s">
        <v>565</v>
      </c>
      <c r="G18" t="s">
        <v>694</v>
      </c>
      <c r="H18" t="s">
        <v>3</v>
      </c>
      <c r="I18" t="s">
        <v>4</v>
      </c>
      <c r="J18" t="s">
        <v>5</v>
      </c>
      <c r="K18" t="s">
        <v>838</v>
      </c>
      <c r="L18" t="s">
        <v>6</v>
      </c>
      <c r="M18" t="s">
        <v>839</v>
      </c>
      <c r="N18" t="s">
        <v>840</v>
      </c>
      <c r="O18" t="s">
        <v>841</v>
      </c>
      <c r="P18" t="s">
        <v>842</v>
      </c>
      <c r="Q18" t="s">
        <v>685</v>
      </c>
      <c r="R18" t="s">
        <v>843</v>
      </c>
      <c r="S18" t="s">
        <v>482</v>
      </c>
    </row>
    <row r="19" spans="1:19" x14ac:dyDescent="0.15">
      <c r="A19">
        <v>1</v>
      </c>
      <c r="B19">
        <v>4283</v>
      </c>
      <c r="C19" t="s">
        <v>988</v>
      </c>
      <c r="D19">
        <v>889</v>
      </c>
      <c r="E19">
        <v>1700</v>
      </c>
      <c r="F19">
        <v>309</v>
      </c>
      <c r="G19">
        <v>80</v>
      </c>
      <c r="H19">
        <v>750</v>
      </c>
      <c r="I19">
        <v>858</v>
      </c>
      <c r="J19">
        <v>647</v>
      </c>
      <c r="K19">
        <v>-1078</v>
      </c>
      <c r="L19">
        <v>272</v>
      </c>
      <c r="M19">
        <v>-55</v>
      </c>
      <c r="N19">
        <v>0</v>
      </c>
      <c r="O19">
        <v>70</v>
      </c>
      <c r="P19">
        <v>13</v>
      </c>
      <c r="Q19">
        <v>56</v>
      </c>
      <c r="R19">
        <v>-136</v>
      </c>
      <c r="S19">
        <v>-92</v>
      </c>
    </row>
    <row r="20" spans="1:19" x14ac:dyDescent="0.15">
      <c r="A20">
        <v>2</v>
      </c>
      <c r="B20">
        <v>4138</v>
      </c>
      <c r="C20" t="s">
        <v>829</v>
      </c>
      <c r="D20">
        <v>922</v>
      </c>
      <c r="E20">
        <v>1747</v>
      </c>
      <c r="F20">
        <v>373</v>
      </c>
      <c r="G20">
        <v>62</v>
      </c>
      <c r="H20">
        <v>732</v>
      </c>
      <c r="I20">
        <v>845</v>
      </c>
      <c r="J20">
        <v>633</v>
      </c>
      <c r="K20">
        <v>-1217</v>
      </c>
      <c r="L20">
        <v>226</v>
      </c>
      <c r="M20">
        <v>-38</v>
      </c>
      <c r="N20">
        <v>0</v>
      </c>
      <c r="O20">
        <v>51</v>
      </c>
      <c r="P20">
        <v>17</v>
      </c>
      <c r="Q20">
        <v>43</v>
      </c>
      <c r="R20">
        <v>-174</v>
      </c>
      <c r="S20">
        <v>-84</v>
      </c>
    </row>
    <row r="21" spans="1:19" x14ac:dyDescent="0.15">
      <c r="A21">
        <v>3</v>
      </c>
      <c r="B21">
        <v>3977</v>
      </c>
      <c r="C21" t="s">
        <v>830</v>
      </c>
      <c r="D21">
        <v>893</v>
      </c>
      <c r="E21">
        <v>1634</v>
      </c>
      <c r="F21">
        <v>291</v>
      </c>
      <c r="G21">
        <v>78</v>
      </c>
      <c r="H21">
        <v>741</v>
      </c>
      <c r="I21">
        <v>834</v>
      </c>
      <c r="J21">
        <v>561</v>
      </c>
      <c r="K21">
        <v>-1167</v>
      </c>
      <c r="L21">
        <v>254</v>
      </c>
      <c r="M21">
        <v>-37</v>
      </c>
      <c r="N21">
        <v>0</v>
      </c>
      <c r="O21">
        <v>65</v>
      </c>
      <c r="P21">
        <v>17</v>
      </c>
      <c r="Q21">
        <v>32</v>
      </c>
      <c r="R21">
        <v>-136</v>
      </c>
      <c r="S21">
        <v>-83</v>
      </c>
    </row>
    <row r="22" spans="1:19" x14ac:dyDescent="0.15">
      <c r="A22">
        <v>4</v>
      </c>
      <c r="B22">
        <v>3964</v>
      </c>
      <c r="C22" t="s">
        <v>978</v>
      </c>
      <c r="D22">
        <v>859</v>
      </c>
      <c r="E22">
        <v>1687</v>
      </c>
      <c r="F22">
        <v>364</v>
      </c>
      <c r="G22">
        <v>84</v>
      </c>
      <c r="H22">
        <v>537</v>
      </c>
      <c r="I22">
        <v>782</v>
      </c>
      <c r="J22">
        <v>568</v>
      </c>
      <c r="K22">
        <v>-1112</v>
      </c>
      <c r="L22">
        <v>302</v>
      </c>
      <c r="M22">
        <v>-48</v>
      </c>
      <c r="N22">
        <v>0</v>
      </c>
      <c r="O22">
        <v>66</v>
      </c>
      <c r="P22">
        <v>31</v>
      </c>
      <c r="Q22">
        <v>47</v>
      </c>
      <c r="R22">
        <v>-133</v>
      </c>
      <c r="S22">
        <v>-70</v>
      </c>
    </row>
    <row r="23" spans="1:19" x14ac:dyDescent="0.15">
      <c r="A23">
        <v>5</v>
      </c>
      <c r="B23">
        <v>3915</v>
      </c>
      <c r="C23" t="s">
        <v>848</v>
      </c>
      <c r="D23">
        <v>856</v>
      </c>
      <c r="E23">
        <v>1642</v>
      </c>
      <c r="F23">
        <v>324</v>
      </c>
      <c r="G23">
        <v>66</v>
      </c>
      <c r="H23">
        <v>705</v>
      </c>
      <c r="I23">
        <v>879</v>
      </c>
      <c r="J23">
        <v>545</v>
      </c>
      <c r="K23">
        <v>-1225</v>
      </c>
      <c r="L23">
        <v>260</v>
      </c>
      <c r="M23">
        <v>-41</v>
      </c>
      <c r="N23">
        <v>10</v>
      </c>
      <c r="O23">
        <v>40</v>
      </c>
      <c r="P23">
        <v>8</v>
      </c>
      <c r="Q23">
        <v>59</v>
      </c>
      <c r="R23">
        <v>-144</v>
      </c>
      <c r="S23">
        <v>-69</v>
      </c>
    </row>
    <row r="24" spans="1:19" x14ac:dyDescent="0.15">
      <c r="A24">
        <v>6</v>
      </c>
      <c r="B24">
        <v>3834</v>
      </c>
      <c r="C24" t="s">
        <v>989</v>
      </c>
      <c r="D24">
        <v>852</v>
      </c>
      <c r="E24">
        <v>1564</v>
      </c>
      <c r="F24">
        <v>352</v>
      </c>
      <c r="G24">
        <v>78</v>
      </c>
      <c r="H24">
        <v>660</v>
      </c>
      <c r="I24">
        <v>818</v>
      </c>
      <c r="J24">
        <v>586</v>
      </c>
      <c r="K24">
        <v>-1216</v>
      </c>
      <c r="L24">
        <v>246</v>
      </c>
      <c r="M24">
        <v>-44</v>
      </c>
      <c r="N24">
        <v>0</v>
      </c>
      <c r="O24">
        <v>64</v>
      </c>
      <c r="P24">
        <v>17</v>
      </c>
      <c r="Q24">
        <v>58</v>
      </c>
      <c r="R24">
        <v>-124</v>
      </c>
      <c r="S24">
        <v>-77</v>
      </c>
    </row>
    <row r="25" spans="1:19" x14ac:dyDescent="0.15">
      <c r="A25">
        <v>7</v>
      </c>
      <c r="B25">
        <v>3821</v>
      </c>
      <c r="C25" t="s">
        <v>731</v>
      </c>
      <c r="D25">
        <v>794</v>
      </c>
      <c r="E25">
        <v>1610</v>
      </c>
      <c r="F25">
        <v>307</v>
      </c>
      <c r="G25">
        <v>52</v>
      </c>
      <c r="H25">
        <v>543</v>
      </c>
      <c r="I25">
        <v>796</v>
      </c>
      <c r="J25">
        <v>566</v>
      </c>
      <c r="K25">
        <v>-986</v>
      </c>
      <c r="L25">
        <v>230</v>
      </c>
      <c r="M25">
        <v>-36</v>
      </c>
      <c r="N25">
        <v>0</v>
      </c>
      <c r="O25">
        <v>63</v>
      </c>
      <c r="P25">
        <v>31</v>
      </c>
      <c r="Q25">
        <v>61</v>
      </c>
      <c r="R25">
        <v>-129</v>
      </c>
      <c r="S25">
        <v>-81</v>
      </c>
    </row>
    <row r="26" spans="1:19" x14ac:dyDescent="0.15">
      <c r="A26">
        <v>8</v>
      </c>
      <c r="B26">
        <v>3799</v>
      </c>
      <c r="C26" t="s">
        <v>847</v>
      </c>
      <c r="D26">
        <v>817</v>
      </c>
      <c r="E26">
        <v>1602</v>
      </c>
      <c r="F26">
        <v>284</v>
      </c>
      <c r="G26">
        <v>54</v>
      </c>
      <c r="H26">
        <v>642</v>
      </c>
      <c r="I26">
        <v>768</v>
      </c>
      <c r="J26">
        <v>576</v>
      </c>
      <c r="K26">
        <v>-1181</v>
      </c>
      <c r="L26">
        <v>350</v>
      </c>
      <c r="M26">
        <v>-46</v>
      </c>
      <c r="N26">
        <v>0</v>
      </c>
      <c r="O26">
        <v>55</v>
      </c>
      <c r="P26">
        <v>26</v>
      </c>
      <c r="Q26">
        <v>44</v>
      </c>
      <c r="R26">
        <v>-114</v>
      </c>
      <c r="S26">
        <v>-78</v>
      </c>
    </row>
    <row r="27" spans="1:19" x14ac:dyDescent="0.15">
      <c r="A27">
        <v>9</v>
      </c>
      <c r="B27">
        <v>3785</v>
      </c>
      <c r="C27" t="s">
        <v>982</v>
      </c>
      <c r="D27">
        <v>854</v>
      </c>
      <c r="E27">
        <v>1579</v>
      </c>
      <c r="F27">
        <v>308</v>
      </c>
      <c r="G27">
        <v>54</v>
      </c>
      <c r="H27">
        <v>801</v>
      </c>
      <c r="I27">
        <v>894</v>
      </c>
      <c r="J27">
        <v>552</v>
      </c>
      <c r="K27">
        <v>-1352</v>
      </c>
      <c r="L27">
        <v>262</v>
      </c>
      <c r="M27">
        <v>-42</v>
      </c>
      <c r="N27">
        <v>0</v>
      </c>
      <c r="O27">
        <v>59</v>
      </c>
      <c r="P27">
        <v>4</v>
      </c>
      <c r="Q27">
        <v>58</v>
      </c>
      <c r="R27">
        <v>-141</v>
      </c>
      <c r="S27">
        <v>-105</v>
      </c>
    </row>
    <row r="28" spans="1:19" x14ac:dyDescent="0.15">
      <c r="A28">
        <v>10</v>
      </c>
      <c r="B28">
        <v>3755</v>
      </c>
      <c r="C28" t="s">
        <v>737</v>
      </c>
      <c r="D28">
        <v>855</v>
      </c>
      <c r="E28">
        <v>1652</v>
      </c>
      <c r="F28">
        <v>325</v>
      </c>
      <c r="G28">
        <v>74</v>
      </c>
      <c r="H28">
        <v>591</v>
      </c>
      <c r="I28">
        <v>802</v>
      </c>
      <c r="J28">
        <v>600</v>
      </c>
      <c r="K28">
        <v>-1202</v>
      </c>
      <c r="L28">
        <v>242</v>
      </c>
      <c r="M28">
        <v>-50</v>
      </c>
      <c r="N28">
        <v>0</v>
      </c>
      <c r="O28">
        <v>48</v>
      </c>
      <c r="P28">
        <v>14</v>
      </c>
      <c r="Q28">
        <v>46</v>
      </c>
      <c r="R28">
        <v>-157</v>
      </c>
      <c r="S28">
        <v>-85</v>
      </c>
    </row>
    <row r="29" spans="1:19" x14ac:dyDescent="0.15">
      <c r="A29">
        <v>11</v>
      </c>
      <c r="B29">
        <v>3727</v>
      </c>
      <c r="C29" t="s">
        <v>980</v>
      </c>
      <c r="D29">
        <v>864</v>
      </c>
      <c r="E29">
        <v>1561</v>
      </c>
      <c r="F29">
        <v>304</v>
      </c>
      <c r="G29">
        <v>58</v>
      </c>
      <c r="H29">
        <v>789</v>
      </c>
      <c r="I29">
        <v>853</v>
      </c>
      <c r="J29">
        <v>577</v>
      </c>
      <c r="K29">
        <v>-1400</v>
      </c>
      <c r="L29">
        <v>210</v>
      </c>
      <c r="M29">
        <v>-23</v>
      </c>
      <c r="N29">
        <v>5</v>
      </c>
      <c r="O29">
        <v>49</v>
      </c>
      <c r="P29">
        <v>14</v>
      </c>
      <c r="Q29">
        <v>53</v>
      </c>
      <c r="R29">
        <v>-108</v>
      </c>
      <c r="S29">
        <v>-79</v>
      </c>
    </row>
    <row r="30" spans="1:19" x14ac:dyDescent="0.15">
      <c r="A30">
        <v>12</v>
      </c>
      <c r="B30">
        <v>3466</v>
      </c>
      <c r="C30" t="s">
        <v>990</v>
      </c>
      <c r="D30">
        <v>817</v>
      </c>
      <c r="E30">
        <v>1514</v>
      </c>
      <c r="F30">
        <v>262</v>
      </c>
      <c r="G30">
        <v>70</v>
      </c>
      <c r="H30">
        <v>528</v>
      </c>
      <c r="I30">
        <v>758</v>
      </c>
      <c r="J30">
        <v>619</v>
      </c>
      <c r="K30">
        <v>-1170</v>
      </c>
      <c r="L30">
        <v>176</v>
      </c>
      <c r="M30">
        <v>-33</v>
      </c>
      <c r="N30">
        <v>0</v>
      </c>
      <c r="O30">
        <v>65</v>
      </c>
      <c r="P30">
        <v>13</v>
      </c>
      <c r="Q30">
        <v>45</v>
      </c>
      <c r="R30">
        <v>-120</v>
      </c>
      <c r="S30">
        <v>-78</v>
      </c>
    </row>
    <row r="32" spans="1:19" s="122" customFormat="1" ht="18" x14ac:dyDescent="0.2">
      <c r="A32" s="122" t="s">
        <v>849</v>
      </c>
    </row>
    <row r="33" spans="1:20" x14ac:dyDescent="0.15">
      <c r="A33" t="s">
        <v>659</v>
      </c>
      <c r="B33" t="s">
        <v>837</v>
      </c>
      <c r="C33" t="s">
        <v>787</v>
      </c>
      <c r="D33" t="s">
        <v>850</v>
      </c>
      <c r="E33" t="s">
        <v>851</v>
      </c>
      <c r="F33" t="s">
        <v>666</v>
      </c>
      <c r="G33" t="s">
        <v>2</v>
      </c>
      <c r="H33" t="s">
        <v>17</v>
      </c>
      <c r="I33" t="s">
        <v>5</v>
      </c>
      <c r="J33" t="s">
        <v>7</v>
      </c>
      <c r="K33" t="s">
        <v>14</v>
      </c>
      <c r="L33" t="s">
        <v>15</v>
      </c>
      <c r="M33" t="s">
        <v>852</v>
      </c>
      <c r="N33" t="s">
        <v>16</v>
      </c>
      <c r="O33" t="s">
        <v>853</v>
      </c>
      <c r="P33" t="s">
        <v>854</v>
      </c>
      <c r="Q33" t="s">
        <v>855</v>
      </c>
      <c r="R33" t="s">
        <v>856</v>
      </c>
      <c r="S33" t="s">
        <v>482</v>
      </c>
      <c r="T33" t="s">
        <v>857</v>
      </c>
    </row>
    <row r="34" spans="1:20" x14ac:dyDescent="0.15">
      <c r="A34">
        <v>1</v>
      </c>
      <c r="B34">
        <v>4414</v>
      </c>
      <c r="C34" t="s">
        <v>731</v>
      </c>
      <c r="D34">
        <v>45</v>
      </c>
      <c r="E34">
        <v>40</v>
      </c>
      <c r="F34">
        <v>3425</v>
      </c>
      <c r="G34">
        <v>-988</v>
      </c>
      <c r="H34">
        <v>-385</v>
      </c>
      <c r="I34">
        <v>-311</v>
      </c>
      <c r="J34">
        <v>1097</v>
      </c>
      <c r="K34">
        <v>900</v>
      </c>
      <c r="L34">
        <v>-215</v>
      </c>
      <c r="M34">
        <v>890</v>
      </c>
      <c r="N34">
        <v>-30</v>
      </c>
      <c r="O34">
        <v>20</v>
      </c>
      <c r="P34">
        <v>0</v>
      </c>
      <c r="Q34">
        <v>-31</v>
      </c>
      <c r="R34">
        <v>-30</v>
      </c>
      <c r="S34">
        <v>-10</v>
      </c>
      <c r="T34">
        <v>-3</v>
      </c>
    </row>
    <row r="35" spans="1:20" x14ac:dyDescent="0.15">
      <c r="A35">
        <v>2</v>
      </c>
      <c r="B35">
        <v>4138</v>
      </c>
      <c r="C35" t="s">
        <v>980</v>
      </c>
      <c r="D35">
        <v>55</v>
      </c>
      <c r="E35">
        <v>60</v>
      </c>
      <c r="F35">
        <v>3605</v>
      </c>
      <c r="G35">
        <v>-1097</v>
      </c>
      <c r="H35">
        <v>-481</v>
      </c>
      <c r="I35">
        <v>-313</v>
      </c>
      <c r="J35">
        <v>1168</v>
      </c>
      <c r="K35">
        <v>720</v>
      </c>
      <c r="L35">
        <v>-310</v>
      </c>
      <c r="M35">
        <v>860</v>
      </c>
      <c r="N35">
        <v>-85</v>
      </c>
      <c r="O35">
        <v>20</v>
      </c>
      <c r="P35">
        <v>30</v>
      </c>
      <c r="Q35">
        <v>-42</v>
      </c>
      <c r="R35">
        <v>-41</v>
      </c>
      <c r="S35">
        <v>-7</v>
      </c>
      <c r="T35">
        <v>-4</v>
      </c>
    </row>
    <row r="36" spans="1:20" x14ac:dyDescent="0.15">
      <c r="A36">
        <v>3</v>
      </c>
      <c r="B36">
        <v>4034</v>
      </c>
      <c r="C36" t="s">
        <v>978</v>
      </c>
      <c r="D36">
        <v>40</v>
      </c>
      <c r="E36">
        <v>40</v>
      </c>
      <c r="F36">
        <v>3488</v>
      </c>
      <c r="G36">
        <v>-1060</v>
      </c>
      <c r="H36">
        <v>-415</v>
      </c>
      <c r="I36">
        <v>-306</v>
      </c>
      <c r="J36">
        <v>1093</v>
      </c>
      <c r="K36">
        <v>820</v>
      </c>
      <c r="L36">
        <v>-250</v>
      </c>
      <c r="M36">
        <v>720</v>
      </c>
      <c r="N36">
        <v>-40</v>
      </c>
      <c r="O36">
        <v>0</v>
      </c>
      <c r="P36">
        <v>0</v>
      </c>
      <c r="Q36">
        <v>-37</v>
      </c>
      <c r="R36">
        <v>-36</v>
      </c>
      <c r="S36">
        <v>-14</v>
      </c>
      <c r="T36">
        <v>-9</v>
      </c>
    </row>
    <row r="37" spans="1:20" x14ac:dyDescent="0.15">
      <c r="A37">
        <v>4</v>
      </c>
      <c r="B37">
        <v>3860</v>
      </c>
      <c r="C37" t="s">
        <v>989</v>
      </c>
      <c r="D37">
        <v>60</v>
      </c>
      <c r="E37">
        <v>60</v>
      </c>
      <c r="F37">
        <v>3371</v>
      </c>
      <c r="G37">
        <v>-999</v>
      </c>
      <c r="H37">
        <v>-465</v>
      </c>
      <c r="I37">
        <v>-361</v>
      </c>
      <c r="J37">
        <v>1054</v>
      </c>
      <c r="K37">
        <v>660</v>
      </c>
      <c r="L37">
        <v>-275</v>
      </c>
      <c r="M37">
        <v>880</v>
      </c>
      <c r="N37">
        <v>-55</v>
      </c>
      <c r="O37">
        <v>0</v>
      </c>
      <c r="P37">
        <v>0</v>
      </c>
      <c r="Q37">
        <v>-37</v>
      </c>
      <c r="R37">
        <v>-25</v>
      </c>
      <c r="S37">
        <v>-7</v>
      </c>
      <c r="T37">
        <v>-1</v>
      </c>
    </row>
    <row r="38" spans="1:20" x14ac:dyDescent="0.15">
      <c r="A38">
        <v>5</v>
      </c>
      <c r="B38">
        <v>3717</v>
      </c>
      <c r="C38" t="s">
        <v>848</v>
      </c>
      <c r="D38">
        <v>30</v>
      </c>
      <c r="E38">
        <v>40</v>
      </c>
      <c r="F38">
        <v>3453</v>
      </c>
      <c r="G38">
        <v>-1029</v>
      </c>
      <c r="H38">
        <v>-481</v>
      </c>
      <c r="I38">
        <v>-371</v>
      </c>
      <c r="J38">
        <v>981</v>
      </c>
      <c r="K38">
        <v>870</v>
      </c>
      <c r="L38">
        <v>-290</v>
      </c>
      <c r="M38">
        <v>680</v>
      </c>
      <c r="N38">
        <v>-80</v>
      </c>
      <c r="O38">
        <v>0</v>
      </c>
      <c r="P38">
        <v>0</v>
      </c>
      <c r="Q38">
        <v>-34</v>
      </c>
      <c r="R38">
        <v>-41</v>
      </c>
      <c r="S38">
        <v>-9</v>
      </c>
      <c r="T38">
        <v>-2</v>
      </c>
    </row>
    <row r="39" spans="1:20" x14ac:dyDescent="0.15">
      <c r="A39">
        <v>6</v>
      </c>
      <c r="B39">
        <v>3652</v>
      </c>
      <c r="C39" t="s">
        <v>988</v>
      </c>
      <c r="D39">
        <v>25</v>
      </c>
      <c r="E39">
        <v>20</v>
      </c>
      <c r="F39">
        <v>3409</v>
      </c>
      <c r="G39">
        <v>-1032</v>
      </c>
      <c r="H39">
        <v>-484</v>
      </c>
      <c r="I39">
        <v>-371</v>
      </c>
      <c r="J39">
        <v>952</v>
      </c>
      <c r="K39">
        <v>710</v>
      </c>
      <c r="L39">
        <v>-315</v>
      </c>
      <c r="M39">
        <v>880</v>
      </c>
      <c r="N39">
        <v>-55</v>
      </c>
      <c r="O39">
        <v>0</v>
      </c>
      <c r="P39">
        <v>0</v>
      </c>
      <c r="Q39">
        <v>-38</v>
      </c>
      <c r="R39">
        <v>-37</v>
      </c>
      <c r="S39">
        <v>-9</v>
      </c>
      <c r="T39">
        <v>-3</v>
      </c>
    </row>
    <row r="40" spans="1:20" x14ac:dyDescent="0.15">
      <c r="A40">
        <v>7</v>
      </c>
      <c r="B40">
        <v>3651</v>
      </c>
      <c r="C40" t="s">
        <v>737</v>
      </c>
      <c r="D40">
        <v>5</v>
      </c>
      <c r="E40">
        <v>0</v>
      </c>
      <c r="F40">
        <v>3407</v>
      </c>
      <c r="G40">
        <v>-1082</v>
      </c>
      <c r="H40">
        <v>-461</v>
      </c>
      <c r="I40">
        <v>-304</v>
      </c>
      <c r="J40">
        <v>1020</v>
      </c>
      <c r="K40">
        <v>720</v>
      </c>
      <c r="L40">
        <v>-320</v>
      </c>
      <c r="M40">
        <v>820</v>
      </c>
      <c r="N40">
        <v>-75</v>
      </c>
      <c r="O40">
        <v>0</v>
      </c>
      <c r="P40">
        <v>0</v>
      </c>
      <c r="Q40">
        <v>-23</v>
      </c>
      <c r="R40">
        <v>-42</v>
      </c>
      <c r="S40">
        <v>-8</v>
      </c>
      <c r="T40">
        <v>-6</v>
      </c>
    </row>
    <row r="41" spans="1:20" x14ac:dyDescent="0.15">
      <c r="A41">
        <v>8</v>
      </c>
      <c r="B41">
        <v>3348</v>
      </c>
      <c r="C41" t="s">
        <v>982</v>
      </c>
      <c r="D41">
        <v>40</v>
      </c>
      <c r="E41">
        <v>60</v>
      </c>
      <c r="F41">
        <v>3386</v>
      </c>
      <c r="G41">
        <v>-1060</v>
      </c>
      <c r="H41">
        <v>-519</v>
      </c>
      <c r="I41">
        <v>-424</v>
      </c>
      <c r="J41">
        <v>1019</v>
      </c>
      <c r="K41">
        <v>720</v>
      </c>
      <c r="L41">
        <v>-365</v>
      </c>
      <c r="M41">
        <v>590</v>
      </c>
      <c r="N41">
        <v>-70</v>
      </c>
      <c r="O41">
        <v>40</v>
      </c>
      <c r="P41">
        <v>30</v>
      </c>
      <c r="Q41">
        <v>-50</v>
      </c>
      <c r="R41">
        <v>-37</v>
      </c>
      <c r="S41">
        <v>-10</v>
      </c>
      <c r="T41">
        <v>-2</v>
      </c>
    </row>
    <row r="42" spans="1:20" x14ac:dyDescent="0.15">
      <c r="A42">
        <v>9</v>
      </c>
      <c r="B42">
        <v>3326</v>
      </c>
      <c r="C42" t="s">
        <v>829</v>
      </c>
      <c r="D42">
        <v>15</v>
      </c>
      <c r="E42">
        <v>20</v>
      </c>
      <c r="F42">
        <v>3252</v>
      </c>
      <c r="G42">
        <v>-1074</v>
      </c>
      <c r="H42">
        <v>-485</v>
      </c>
      <c r="I42">
        <v>-340</v>
      </c>
      <c r="J42">
        <v>938</v>
      </c>
      <c r="K42">
        <v>670</v>
      </c>
      <c r="L42">
        <v>-315</v>
      </c>
      <c r="M42">
        <v>750</v>
      </c>
      <c r="N42">
        <v>-40</v>
      </c>
      <c r="O42">
        <v>0</v>
      </c>
      <c r="P42">
        <v>0</v>
      </c>
      <c r="Q42">
        <v>-28</v>
      </c>
      <c r="R42">
        <v>-26</v>
      </c>
      <c r="S42">
        <v>-8</v>
      </c>
      <c r="T42">
        <v>-3</v>
      </c>
    </row>
    <row r="43" spans="1:20" x14ac:dyDescent="0.15">
      <c r="A43">
        <v>10</v>
      </c>
      <c r="B43">
        <v>3297</v>
      </c>
      <c r="C43" t="s">
        <v>830</v>
      </c>
      <c r="D43">
        <v>20</v>
      </c>
      <c r="E43">
        <v>20</v>
      </c>
      <c r="F43">
        <v>3331</v>
      </c>
      <c r="G43">
        <v>-1068</v>
      </c>
      <c r="H43">
        <v>-473</v>
      </c>
      <c r="I43">
        <v>-292</v>
      </c>
      <c r="J43">
        <v>1001</v>
      </c>
      <c r="K43">
        <v>620</v>
      </c>
      <c r="L43">
        <v>-355</v>
      </c>
      <c r="M43">
        <v>640</v>
      </c>
      <c r="N43">
        <v>-80</v>
      </c>
      <c r="O43">
        <v>0</v>
      </c>
      <c r="P43">
        <v>0</v>
      </c>
      <c r="Q43">
        <v>-24</v>
      </c>
      <c r="R43">
        <v>-28</v>
      </c>
      <c r="S43">
        <v>-11</v>
      </c>
      <c r="T43">
        <v>-4</v>
      </c>
    </row>
    <row r="44" spans="1:20" x14ac:dyDescent="0.15">
      <c r="A44">
        <v>11</v>
      </c>
      <c r="B44">
        <v>3288</v>
      </c>
      <c r="C44" t="s">
        <v>847</v>
      </c>
      <c r="D44">
        <v>40</v>
      </c>
      <c r="E44">
        <v>20</v>
      </c>
      <c r="F44">
        <v>3508</v>
      </c>
      <c r="G44">
        <v>-1140</v>
      </c>
      <c r="H44">
        <v>-527</v>
      </c>
      <c r="I44">
        <v>-336</v>
      </c>
      <c r="J44">
        <v>1035</v>
      </c>
      <c r="K44">
        <v>590</v>
      </c>
      <c r="L44">
        <v>-400</v>
      </c>
      <c r="M44">
        <v>650</v>
      </c>
      <c r="N44">
        <v>-60</v>
      </c>
      <c r="O44">
        <v>0</v>
      </c>
      <c r="P44">
        <v>0</v>
      </c>
      <c r="Q44">
        <v>-34</v>
      </c>
      <c r="R44">
        <v>-35</v>
      </c>
      <c r="S44">
        <v>-20</v>
      </c>
      <c r="T44">
        <v>-3</v>
      </c>
    </row>
    <row r="45" spans="1:20" x14ac:dyDescent="0.15">
      <c r="A45">
        <v>12</v>
      </c>
      <c r="B45">
        <v>3221</v>
      </c>
      <c r="C45" t="s">
        <v>990</v>
      </c>
      <c r="D45">
        <v>20</v>
      </c>
      <c r="E45">
        <v>20</v>
      </c>
      <c r="F45">
        <v>3375</v>
      </c>
      <c r="G45">
        <v>-1113</v>
      </c>
      <c r="H45">
        <v>-462</v>
      </c>
      <c r="I45">
        <v>-327</v>
      </c>
      <c r="J45">
        <v>917</v>
      </c>
      <c r="K45">
        <v>720</v>
      </c>
      <c r="L45">
        <v>-320</v>
      </c>
      <c r="M45">
        <v>530</v>
      </c>
      <c r="N45">
        <v>-45</v>
      </c>
      <c r="O45">
        <v>0</v>
      </c>
      <c r="P45">
        <v>0</v>
      </c>
      <c r="Q45">
        <v>-33</v>
      </c>
      <c r="R45">
        <v>-42</v>
      </c>
      <c r="S45">
        <v>-18</v>
      </c>
      <c r="T45">
        <v>-1</v>
      </c>
    </row>
    <row r="47" spans="1:20" s="124" customFormat="1" ht="18" x14ac:dyDescent="0.2">
      <c r="A47" s="124" t="s">
        <v>858</v>
      </c>
    </row>
    <row r="48" spans="1:20" x14ac:dyDescent="0.15">
      <c r="A48" t="s">
        <v>859</v>
      </c>
      <c r="B48" t="s">
        <v>451</v>
      </c>
      <c r="C48" t="s">
        <v>452</v>
      </c>
      <c r="D48" t="s">
        <v>448</v>
      </c>
      <c r="E48" t="s">
        <v>860</v>
      </c>
      <c r="F48" t="s">
        <v>861</v>
      </c>
      <c r="G48" t="s">
        <v>862</v>
      </c>
    </row>
    <row r="49" spans="1:7" x14ac:dyDescent="0.15">
      <c r="A49" t="s">
        <v>991</v>
      </c>
      <c r="B49" t="s">
        <v>980</v>
      </c>
      <c r="C49" t="s">
        <v>848</v>
      </c>
      <c r="D49" t="s">
        <v>992</v>
      </c>
      <c r="E49">
        <v>0</v>
      </c>
      <c r="F49" t="s">
        <v>865</v>
      </c>
      <c r="G49">
        <v>144</v>
      </c>
    </row>
    <row r="50" spans="1:7" x14ac:dyDescent="0.15">
      <c r="A50" t="s">
        <v>980</v>
      </c>
      <c r="B50" t="s">
        <v>848</v>
      </c>
      <c r="C50" t="s">
        <v>993</v>
      </c>
      <c r="D50">
        <v>144</v>
      </c>
    </row>
    <row r="51" spans="1:7" x14ac:dyDescent="0.15">
      <c r="A51" t="s">
        <v>848</v>
      </c>
      <c r="B51" t="s">
        <v>980</v>
      </c>
      <c r="C51" t="s">
        <v>994</v>
      </c>
      <c r="D51">
        <v>144</v>
      </c>
    </row>
    <row r="52" spans="1:7" x14ac:dyDescent="0.15">
      <c r="A52" t="s">
        <v>848</v>
      </c>
      <c r="B52" t="s">
        <v>980</v>
      </c>
      <c r="C52" t="s">
        <v>995</v>
      </c>
      <c r="D52">
        <v>144</v>
      </c>
    </row>
    <row r="53" spans="1:7" x14ac:dyDescent="0.15">
      <c r="A53" t="s">
        <v>980</v>
      </c>
      <c r="B53" t="s">
        <v>848</v>
      </c>
      <c r="C53" t="s">
        <v>996</v>
      </c>
      <c r="D53">
        <v>144</v>
      </c>
    </row>
    <row r="54" spans="1:7" x14ac:dyDescent="0.15">
      <c r="A54" t="s">
        <v>848</v>
      </c>
      <c r="B54" t="s">
        <v>980</v>
      </c>
      <c r="C54" t="s">
        <v>997</v>
      </c>
      <c r="D54">
        <v>144</v>
      </c>
    </row>
    <row r="55" spans="1:7" x14ac:dyDescent="0.15">
      <c r="A55" t="s">
        <v>980</v>
      </c>
      <c r="B55" t="s">
        <v>848</v>
      </c>
      <c r="C55" t="s">
        <v>998</v>
      </c>
      <c r="D55">
        <v>144</v>
      </c>
    </row>
    <row r="56" spans="1:7" x14ac:dyDescent="0.15">
      <c r="A56" t="s">
        <v>848</v>
      </c>
      <c r="B56" t="s">
        <v>980</v>
      </c>
      <c r="C56" t="s">
        <v>999</v>
      </c>
      <c r="D56">
        <v>144</v>
      </c>
    </row>
    <row r="57" spans="1:7" x14ac:dyDescent="0.15">
      <c r="A57" t="s">
        <v>1000</v>
      </c>
      <c r="B57" t="s">
        <v>830</v>
      </c>
      <c r="C57" t="s">
        <v>731</v>
      </c>
      <c r="D57" t="s">
        <v>1001</v>
      </c>
      <c r="E57">
        <v>0</v>
      </c>
      <c r="F57" t="s">
        <v>865</v>
      </c>
      <c r="G57">
        <v>138</v>
      </c>
    </row>
    <row r="58" spans="1:7" x14ac:dyDescent="0.15">
      <c r="A58" t="s">
        <v>830</v>
      </c>
      <c r="B58" t="s">
        <v>731</v>
      </c>
      <c r="C58" t="s">
        <v>1002</v>
      </c>
      <c r="D58">
        <v>138</v>
      </c>
    </row>
    <row r="59" spans="1:7" x14ac:dyDescent="0.15">
      <c r="A59" t="s">
        <v>731</v>
      </c>
      <c r="B59" t="s">
        <v>830</v>
      </c>
      <c r="C59" t="s">
        <v>1003</v>
      </c>
      <c r="D59">
        <v>138</v>
      </c>
    </row>
    <row r="60" spans="1:7" x14ac:dyDescent="0.15">
      <c r="A60" t="s">
        <v>731</v>
      </c>
      <c r="B60" t="s">
        <v>830</v>
      </c>
      <c r="C60" t="s">
        <v>1004</v>
      </c>
      <c r="D60">
        <v>138</v>
      </c>
    </row>
    <row r="61" spans="1:7" x14ac:dyDescent="0.15">
      <c r="A61" t="s">
        <v>731</v>
      </c>
      <c r="B61" t="s">
        <v>830</v>
      </c>
      <c r="C61" t="s">
        <v>1005</v>
      </c>
      <c r="D61">
        <v>138</v>
      </c>
    </row>
    <row r="62" spans="1:7" x14ac:dyDescent="0.15">
      <c r="A62" t="s">
        <v>830</v>
      </c>
      <c r="B62" t="s">
        <v>731</v>
      </c>
      <c r="C62" t="s">
        <v>1006</v>
      </c>
      <c r="D62">
        <v>138</v>
      </c>
    </row>
    <row r="63" spans="1:7" x14ac:dyDescent="0.15">
      <c r="A63" t="s">
        <v>1007</v>
      </c>
      <c r="B63" t="s">
        <v>847</v>
      </c>
      <c r="C63" t="s">
        <v>731</v>
      </c>
      <c r="D63" t="s">
        <v>1008</v>
      </c>
      <c r="E63">
        <v>0</v>
      </c>
      <c r="F63" t="s">
        <v>865</v>
      </c>
      <c r="G63">
        <v>136</v>
      </c>
    </row>
    <row r="64" spans="1:7" x14ac:dyDescent="0.15">
      <c r="A64" t="s">
        <v>731</v>
      </c>
      <c r="B64" t="s">
        <v>847</v>
      </c>
      <c r="C64" t="s">
        <v>972</v>
      </c>
      <c r="D64">
        <v>136</v>
      </c>
    </row>
    <row r="65" spans="1:7" x14ac:dyDescent="0.15">
      <c r="A65" t="s">
        <v>731</v>
      </c>
      <c r="B65" t="s">
        <v>847</v>
      </c>
      <c r="C65" t="s">
        <v>1009</v>
      </c>
      <c r="D65">
        <v>136</v>
      </c>
    </row>
    <row r="66" spans="1:7" x14ac:dyDescent="0.15">
      <c r="A66" t="s">
        <v>847</v>
      </c>
      <c r="B66" t="s">
        <v>731</v>
      </c>
      <c r="C66" t="s">
        <v>1010</v>
      </c>
      <c r="D66">
        <v>136</v>
      </c>
    </row>
    <row r="67" spans="1:7" x14ac:dyDescent="0.15">
      <c r="A67" t="s">
        <v>1011</v>
      </c>
      <c r="B67" t="s">
        <v>978</v>
      </c>
      <c r="C67" t="s">
        <v>989</v>
      </c>
      <c r="D67" t="s">
        <v>1012</v>
      </c>
      <c r="E67">
        <v>0</v>
      </c>
      <c r="F67" t="s">
        <v>865</v>
      </c>
      <c r="G67">
        <v>135</v>
      </c>
    </row>
    <row r="68" spans="1:7" x14ac:dyDescent="0.15">
      <c r="A68" t="s">
        <v>978</v>
      </c>
      <c r="B68" t="s">
        <v>989</v>
      </c>
      <c r="C68" t="s">
        <v>1013</v>
      </c>
      <c r="D68">
        <v>135</v>
      </c>
    </row>
    <row r="69" spans="1:7" x14ac:dyDescent="0.15">
      <c r="A69" t="s">
        <v>989</v>
      </c>
      <c r="B69" t="s">
        <v>978</v>
      </c>
      <c r="C69" t="s">
        <v>1014</v>
      </c>
      <c r="D69">
        <v>135</v>
      </c>
    </row>
    <row r="70" spans="1:7" x14ac:dyDescent="0.15">
      <c r="A70" t="s">
        <v>989</v>
      </c>
      <c r="B70" t="s">
        <v>978</v>
      </c>
      <c r="C70" t="s">
        <v>1015</v>
      </c>
      <c r="D70">
        <v>135</v>
      </c>
    </row>
    <row r="71" spans="1:7" x14ac:dyDescent="0.15">
      <c r="A71" t="s">
        <v>1016</v>
      </c>
      <c r="B71" t="s">
        <v>982</v>
      </c>
      <c r="C71" t="s">
        <v>988</v>
      </c>
      <c r="D71" t="s">
        <v>1017</v>
      </c>
      <c r="E71">
        <v>0</v>
      </c>
      <c r="F71" t="s">
        <v>865</v>
      </c>
      <c r="G71">
        <v>126</v>
      </c>
    </row>
    <row r="72" spans="1:7" x14ac:dyDescent="0.15">
      <c r="A72" t="s">
        <v>982</v>
      </c>
      <c r="B72" t="s">
        <v>988</v>
      </c>
      <c r="C72" t="s">
        <v>1018</v>
      </c>
      <c r="D72">
        <v>126</v>
      </c>
    </row>
    <row r="73" spans="1:7" x14ac:dyDescent="0.15">
      <c r="A73" t="s">
        <v>988</v>
      </c>
      <c r="B73" t="s">
        <v>982</v>
      </c>
      <c r="C73" t="s">
        <v>1019</v>
      </c>
      <c r="D73">
        <v>126</v>
      </c>
    </row>
    <row r="74" spans="1:7" x14ac:dyDescent="0.15">
      <c r="A74" t="s">
        <v>988</v>
      </c>
      <c r="B74" t="s">
        <v>982</v>
      </c>
      <c r="C74" t="s">
        <v>1020</v>
      </c>
      <c r="D74">
        <v>126</v>
      </c>
    </row>
    <row r="75" spans="1:7" x14ac:dyDescent="0.15">
      <c r="A75" t="s">
        <v>988</v>
      </c>
      <c r="B75" t="s">
        <v>982</v>
      </c>
      <c r="C75" t="s">
        <v>1021</v>
      </c>
      <c r="D75">
        <v>126</v>
      </c>
    </row>
    <row r="76" spans="1:7" x14ac:dyDescent="0.15">
      <c r="A76" t="s">
        <v>988</v>
      </c>
      <c r="B76" t="s">
        <v>982</v>
      </c>
      <c r="C76" t="s">
        <v>1022</v>
      </c>
      <c r="D76">
        <v>126</v>
      </c>
    </row>
    <row r="77" spans="1:7" x14ac:dyDescent="0.15">
      <c r="A77" t="s">
        <v>982</v>
      </c>
      <c r="B77" t="s">
        <v>988</v>
      </c>
      <c r="C77" t="s">
        <v>1023</v>
      </c>
      <c r="D77">
        <v>126</v>
      </c>
    </row>
    <row r="78" spans="1:7" x14ac:dyDescent="0.15">
      <c r="A78" t="s">
        <v>982</v>
      </c>
      <c r="B78" t="s">
        <v>988</v>
      </c>
      <c r="C78" t="s">
        <v>1024</v>
      </c>
      <c r="D78">
        <v>126</v>
      </c>
    </row>
    <row r="79" spans="1:7" x14ac:dyDescent="0.15">
      <c r="A79" t="s">
        <v>1025</v>
      </c>
      <c r="B79" t="s">
        <v>829</v>
      </c>
      <c r="C79" t="s">
        <v>978</v>
      </c>
      <c r="D79" t="s">
        <v>1012</v>
      </c>
      <c r="E79">
        <v>0</v>
      </c>
      <c r="F79" t="s">
        <v>865</v>
      </c>
      <c r="G79">
        <v>124</v>
      </c>
    </row>
    <row r="80" spans="1:7" x14ac:dyDescent="0.15">
      <c r="A80" t="s">
        <v>829</v>
      </c>
      <c r="B80" t="s">
        <v>978</v>
      </c>
      <c r="C80" t="s">
        <v>1026</v>
      </c>
      <c r="D80">
        <v>124</v>
      </c>
    </row>
    <row r="81" spans="1:7" x14ac:dyDescent="0.15">
      <c r="A81" t="s">
        <v>829</v>
      </c>
      <c r="B81" t="s">
        <v>978</v>
      </c>
      <c r="C81" t="s">
        <v>1027</v>
      </c>
      <c r="D81">
        <v>124</v>
      </c>
    </row>
    <row r="82" spans="1:7" x14ac:dyDescent="0.15">
      <c r="A82" t="s">
        <v>978</v>
      </c>
      <c r="B82" t="s">
        <v>829</v>
      </c>
      <c r="C82" t="s">
        <v>1028</v>
      </c>
      <c r="D82">
        <v>124</v>
      </c>
    </row>
    <row r="83" spans="1:7" x14ac:dyDescent="0.15">
      <c r="A83" t="s">
        <v>978</v>
      </c>
      <c r="B83" t="s">
        <v>829</v>
      </c>
      <c r="C83" t="s">
        <v>1029</v>
      </c>
      <c r="D83">
        <v>124</v>
      </c>
    </row>
    <row r="84" spans="1:7" x14ac:dyDescent="0.15">
      <c r="A84" t="s">
        <v>978</v>
      </c>
      <c r="B84" t="s">
        <v>829</v>
      </c>
      <c r="C84" t="s">
        <v>1030</v>
      </c>
      <c r="D84">
        <v>124</v>
      </c>
    </row>
    <row r="85" spans="1:7" x14ac:dyDescent="0.15">
      <c r="A85" t="s">
        <v>978</v>
      </c>
      <c r="B85" t="s">
        <v>829</v>
      </c>
      <c r="C85" t="s">
        <v>1031</v>
      </c>
      <c r="D85">
        <v>124</v>
      </c>
    </row>
    <row r="86" spans="1:7" x14ac:dyDescent="0.15">
      <c r="A86" t="s">
        <v>829</v>
      </c>
      <c r="B86" t="s">
        <v>978</v>
      </c>
      <c r="C86" t="s">
        <v>1032</v>
      </c>
      <c r="D86">
        <v>124</v>
      </c>
    </row>
    <row r="87" spans="1:7" x14ac:dyDescent="0.15">
      <c r="A87" t="s">
        <v>978</v>
      </c>
      <c r="B87" t="s">
        <v>829</v>
      </c>
      <c r="C87" t="s">
        <v>1033</v>
      </c>
      <c r="D87">
        <v>124</v>
      </c>
    </row>
    <row r="88" spans="1:7" x14ac:dyDescent="0.15">
      <c r="A88" t="s">
        <v>829</v>
      </c>
      <c r="B88" t="s">
        <v>978</v>
      </c>
      <c r="C88" t="s">
        <v>1034</v>
      </c>
      <c r="D88">
        <v>124</v>
      </c>
    </row>
    <row r="89" spans="1:7" x14ac:dyDescent="0.15">
      <c r="A89" t="s">
        <v>1035</v>
      </c>
      <c r="B89" t="s">
        <v>980</v>
      </c>
      <c r="C89" t="s">
        <v>847</v>
      </c>
      <c r="D89" t="s">
        <v>1036</v>
      </c>
      <c r="E89">
        <v>0</v>
      </c>
      <c r="F89" t="s">
        <v>865</v>
      </c>
      <c r="G89">
        <v>119</v>
      </c>
    </row>
    <row r="90" spans="1:7" x14ac:dyDescent="0.15">
      <c r="A90" t="s">
        <v>980</v>
      </c>
      <c r="B90" t="s">
        <v>847</v>
      </c>
      <c r="C90" t="s">
        <v>1037</v>
      </c>
      <c r="D90">
        <v>119</v>
      </c>
    </row>
    <row r="91" spans="1:7" x14ac:dyDescent="0.15">
      <c r="A91" t="s">
        <v>980</v>
      </c>
      <c r="B91" t="s">
        <v>847</v>
      </c>
      <c r="C91" t="s">
        <v>1038</v>
      </c>
      <c r="D91">
        <v>119</v>
      </c>
    </row>
    <row r="92" spans="1:7" x14ac:dyDescent="0.15">
      <c r="A92" t="s">
        <v>847</v>
      </c>
      <c r="B92" t="s">
        <v>980</v>
      </c>
      <c r="C92" t="s">
        <v>1039</v>
      </c>
      <c r="D92">
        <v>119</v>
      </c>
    </row>
    <row r="93" spans="1:7" x14ac:dyDescent="0.15">
      <c r="A93" t="s">
        <v>847</v>
      </c>
      <c r="B93" t="s">
        <v>980</v>
      </c>
      <c r="C93" t="s">
        <v>1040</v>
      </c>
      <c r="D93">
        <v>119</v>
      </c>
    </row>
    <row r="94" spans="1:7" x14ac:dyDescent="0.15">
      <c r="A94" t="s">
        <v>847</v>
      </c>
      <c r="B94" t="s">
        <v>980</v>
      </c>
      <c r="C94" t="s">
        <v>1041</v>
      </c>
      <c r="D94">
        <v>119</v>
      </c>
    </row>
    <row r="95" spans="1:7" x14ac:dyDescent="0.15">
      <c r="A95" t="s">
        <v>1042</v>
      </c>
      <c r="B95" t="s">
        <v>731</v>
      </c>
      <c r="C95" t="s">
        <v>982</v>
      </c>
      <c r="D95" t="s">
        <v>1043</v>
      </c>
      <c r="E95">
        <v>1</v>
      </c>
      <c r="F95" t="s">
        <v>865</v>
      </c>
      <c r="G95">
        <v>116</v>
      </c>
    </row>
    <row r="96" spans="1:7" x14ac:dyDescent="0.15">
      <c r="A96" t="s">
        <v>982</v>
      </c>
      <c r="B96" t="s">
        <v>731</v>
      </c>
      <c r="C96" t="s">
        <v>1044</v>
      </c>
      <c r="D96">
        <v>116</v>
      </c>
    </row>
    <row r="97" spans="1:7" x14ac:dyDescent="0.15">
      <c r="A97" t="s">
        <v>1045</v>
      </c>
      <c r="B97" t="s">
        <v>731</v>
      </c>
      <c r="C97" t="s">
        <v>990</v>
      </c>
      <c r="D97" t="s">
        <v>1046</v>
      </c>
      <c r="E97">
        <v>0</v>
      </c>
      <c r="F97" t="s">
        <v>865</v>
      </c>
      <c r="G97">
        <v>113</v>
      </c>
    </row>
    <row r="98" spans="1:7" x14ac:dyDescent="0.15">
      <c r="A98" t="s">
        <v>731</v>
      </c>
      <c r="B98" t="s">
        <v>990</v>
      </c>
      <c r="C98" t="s">
        <v>1047</v>
      </c>
      <c r="D98">
        <v>113</v>
      </c>
    </row>
    <row r="99" spans="1:7" x14ac:dyDescent="0.15">
      <c r="A99" t="s">
        <v>990</v>
      </c>
      <c r="B99" t="s">
        <v>731</v>
      </c>
      <c r="C99" t="s">
        <v>1048</v>
      </c>
      <c r="D99">
        <v>113</v>
      </c>
    </row>
    <row r="100" spans="1:7" x14ac:dyDescent="0.15">
      <c r="A100" t="s">
        <v>731</v>
      </c>
      <c r="B100" t="s">
        <v>990</v>
      </c>
      <c r="C100" t="s">
        <v>1049</v>
      </c>
      <c r="D100">
        <v>113</v>
      </c>
    </row>
    <row r="101" spans="1:7" x14ac:dyDescent="0.15">
      <c r="A101" t="s">
        <v>990</v>
      </c>
      <c r="B101" t="s">
        <v>731</v>
      </c>
      <c r="C101" t="s">
        <v>1050</v>
      </c>
      <c r="D101">
        <v>113</v>
      </c>
    </row>
    <row r="102" spans="1:7" x14ac:dyDescent="0.15">
      <c r="A102" t="s">
        <v>990</v>
      </c>
      <c r="B102" t="s">
        <v>731</v>
      </c>
      <c r="C102" t="s">
        <v>1051</v>
      </c>
      <c r="D102">
        <v>113</v>
      </c>
    </row>
    <row r="103" spans="1:7" x14ac:dyDescent="0.15">
      <c r="A103" t="s">
        <v>1052</v>
      </c>
      <c r="B103" t="s">
        <v>989</v>
      </c>
      <c r="C103" t="s">
        <v>731</v>
      </c>
      <c r="D103" t="s">
        <v>1053</v>
      </c>
      <c r="E103">
        <v>0</v>
      </c>
      <c r="F103" t="s">
        <v>865</v>
      </c>
      <c r="G103">
        <v>111</v>
      </c>
    </row>
    <row r="104" spans="1:7" x14ac:dyDescent="0.15">
      <c r="A104" t="s">
        <v>731</v>
      </c>
      <c r="B104" t="s">
        <v>989</v>
      </c>
      <c r="C104" t="s">
        <v>1054</v>
      </c>
      <c r="D104">
        <v>111</v>
      </c>
    </row>
    <row r="105" spans="1:7" x14ac:dyDescent="0.15">
      <c r="A105" t="s">
        <v>1055</v>
      </c>
      <c r="B105" t="s">
        <v>990</v>
      </c>
      <c r="C105" t="s">
        <v>830</v>
      </c>
      <c r="D105" t="s">
        <v>1056</v>
      </c>
      <c r="E105">
        <v>0</v>
      </c>
      <c r="F105" t="s">
        <v>865</v>
      </c>
      <c r="G105">
        <v>111</v>
      </c>
    </row>
    <row r="106" spans="1:7" x14ac:dyDescent="0.15">
      <c r="A106" t="s">
        <v>830</v>
      </c>
      <c r="B106" t="s">
        <v>990</v>
      </c>
      <c r="C106" t="s">
        <v>1057</v>
      </c>
      <c r="D106">
        <v>111</v>
      </c>
    </row>
    <row r="107" spans="1:7" x14ac:dyDescent="0.15">
      <c r="A107" t="s">
        <v>990</v>
      </c>
      <c r="B107" t="s">
        <v>830</v>
      </c>
      <c r="C107" t="s">
        <v>1058</v>
      </c>
      <c r="D107">
        <v>111</v>
      </c>
    </row>
    <row r="108" spans="1:7" x14ac:dyDescent="0.15">
      <c r="A108" t="s">
        <v>830</v>
      </c>
      <c r="B108" t="s">
        <v>990</v>
      </c>
      <c r="C108" t="s">
        <v>1059</v>
      </c>
      <c r="D108">
        <v>111</v>
      </c>
    </row>
    <row r="109" spans="1:7" x14ac:dyDescent="0.15">
      <c r="A109" t="s">
        <v>1060</v>
      </c>
      <c r="B109" t="s">
        <v>731</v>
      </c>
      <c r="C109" t="s">
        <v>990</v>
      </c>
      <c r="D109" t="s">
        <v>1061</v>
      </c>
      <c r="E109">
        <v>1</v>
      </c>
      <c r="F109" t="s">
        <v>865</v>
      </c>
      <c r="G109">
        <v>100</v>
      </c>
    </row>
    <row r="110" spans="1:7" x14ac:dyDescent="0.15">
      <c r="A110" t="s">
        <v>990</v>
      </c>
      <c r="B110" t="s">
        <v>731</v>
      </c>
      <c r="C110" t="s">
        <v>1062</v>
      </c>
      <c r="D110">
        <v>100</v>
      </c>
    </row>
    <row r="111" spans="1:7" x14ac:dyDescent="0.15">
      <c r="A111" t="s">
        <v>990</v>
      </c>
      <c r="B111" t="s">
        <v>731</v>
      </c>
      <c r="C111" t="s">
        <v>1063</v>
      </c>
      <c r="D111">
        <v>100</v>
      </c>
    </row>
    <row r="112" spans="1:7" x14ac:dyDescent="0.15">
      <c r="A112" t="s">
        <v>731</v>
      </c>
      <c r="B112" t="s">
        <v>990</v>
      </c>
      <c r="C112" t="s">
        <v>1064</v>
      </c>
      <c r="D112">
        <v>100</v>
      </c>
    </row>
    <row r="113" spans="1:7" x14ac:dyDescent="0.15">
      <c r="A113" t="s">
        <v>1060</v>
      </c>
      <c r="B113" t="s">
        <v>829</v>
      </c>
      <c r="C113" t="s">
        <v>978</v>
      </c>
      <c r="D113" t="s">
        <v>1065</v>
      </c>
      <c r="E113">
        <v>0</v>
      </c>
      <c r="F113" t="s">
        <v>865</v>
      </c>
      <c r="G113">
        <v>100</v>
      </c>
    </row>
    <row r="114" spans="1:7" x14ac:dyDescent="0.15">
      <c r="A114" t="s">
        <v>829</v>
      </c>
      <c r="B114" t="s">
        <v>978</v>
      </c>
      <c r="C114" t="s">
        <v>1066</v>
      </c>
      <c r="D114">
        <v>100</v>
      </c>
    </row>
    <row r="115" spans="1:7" x14ac:dyDescent="0.15">
      <c r="A115" t="s">
        <v>978</v>
      </c>
      <c r="B115" t="s">
        <v>829</v>
      </c>
      <c r="C115" t="s">
        <v>1067</v>
      </c>
      <c r="D115">
        <v>100</v>
      </c>
    </row>
    <row r="116" spans="1:7" x14ac:dyDescent="0.15">
      <c r="A116" t="s">
        <v>978</v>
      </c>
      <c r="B116" t="s">
        <v>829</v>
      </c>
      <c r="C116" t="s">
        <v>1068</v>
      </c>
      <c r="D116">
        <v>100</v>
      </c>
    </row>
    <row r="117" spans="1:7" x14ac:dyDescent="0.15">
      <c r="A117" t="s">
        <v>1069</v>
      </c>
      <c r="B117" t="s">
        <v>830</v>
      </c>
      <c r="C117" t="s">
        <v>847</v>
      </c>
      <c r="D117" t="s">
        <v>1070</v>
      </c>
      <c r="E117">
        <v>0</v>
      </c>
      <c r="F117" t="s">
        <v>865</v>
      </c>
      <c r="G117">
        <v>97</v>
      </c>
    </row>
    <row r="118" spans="1:7" x14ac:dyDescent="0.15">
      <c r="A118" t="s">
        <v>847</v>
      </c>
      <c r="B118" t="s">
        <v>830</v>
      </c>
      <c r="C118" t="s">
        <v>1071</v>
      </c>
      <c r="D118">
        <v>97</v>
      </c>
    </row>
    <row r="119" spans="1:7" x14ac:dyDescent="0.15">
      <c r="A119" t="s">
        <v>847</v>
      </c>
      <c r="B119" t="s">
        <v>830</v>
      </c>
      <c r="C119" t="s">
        <v>1001</v>
      </c>
      <c r="D119">
        <v>97</v>
      </c>
    </row>
    <row r="120" spans="1:7" x14ac:dyDescent="0.15">
      <c r="A120" t="s">
        <v>830</v>
      </c>
      <c r="B120" t="s">
        <v>847</v>
      </c>
      <c r="C120" t="s">
        <v>1072</v>
      </c>
      <c r="D120">
        <v>97</v>
      </c>
    </row>
    <row r="121" spans="1:7" x14ac:dyDescent="0.15">
      <c r="A121" t="s">
        <v>830</v>
      </c>
      <c r="B121" t="s">
        <v>847</v>
      </c>
      <c r="C121" t="s">
        <v>1073</v>
      </c>
      <c r="D121">
        <v>97</v>
      </c>
    </row>
    <row r="122" spans="1:7" x14ac:dyDescent="0.15">
      <c r="A122" t="s">
        <v>830</v>
      </c>
      <c r="B122" t="s">
        <v>847</v>
      </c>
      <c r="C122" t="s">
        <v>1074</v>
      </c>
      <c r="D122">
        <v>97</v>
      </c>
    </row>
    <row r="123" spans="1:7" x14ac:dyDescent="0.15">
      <c r="A123" t="s">
        <v>847</v>
      </c>
      <c r="B123" t="s">
        <v>830</v>
      </c>
      <c r="C123" t="s">
        <v>1075</v>
      </c>
      <c r="D123">
        <v>97</v>
      </c>
    </row>
    <row r="124" spans="1:7" x14ac:dyDescent="0.15">
      <c r="A124" t="s">
        <v>847</v>
      </c>
      <c r="B124" t="s">
        <v>830</v>
      </c>
      <c r="C124" t="s">
        <v>1076</v>
      </c>
      <c r="D124">
        <v>97</v>
      </c>
    </row>
    <row r="125" spans="1:7" x14ac:dyDescent="0.15">
      <c r="A125" t="s">
        <v>1077</v>
      </c>
      <c r="B125" t="s">
        <v>737</v>
      </c>
      <c r="C125" t="s">
        <v>980</v>
      </c>
      <c r="D125" t="s">
        <v>1078</v>
      </c>
      <c r="E125">
        <v>0</v>
      </c>
      <c r="F125" t="s">
        <v>865</v>
      </c>
      <c r="G125">
        <v>85</v>
      </c>
    </row>
    <row r="126" spans="1:7" x14ac:dyDescent="0.15">
      <c r="A126" t="s">
        <v>980</v>
      </c>
      <c r="B126" t="s">
        <v>737</v>
      </c>
      <c r="C126" t="s">
        <v>1079</v>
      </c>
      <c r="D126">
        <v>85</v>
      </c>
    </row>
    <row r="127" spans="1:7" x14ac:dyDescent="0.15">
      <c r="A127" t="s">
        <v>737</v>
      </c>
      <c r="B127" t="s">
        <v>980</v>
      </c>
      <c r="C127" t="s">
        <v>1080</v>
      </c>
      <c r="D127">
        <v>85</v>
      </c>
    </row>
    <row r="128" spans="1:7" x14ac:dyDescent="0.15">
      <c r="A128" t="s">
        <v>980</v>
      </c>
      <c r="B128" t="s">
        <v>737</v>
      </c>
      <c r="C128" t="s">
        <v>1081</v>
      </c>
      <c r="D128">
        <v>85</v>
      </c>
    </row>
    <row r="129" spans="1:7" x14ac:dyDescent="0.15">
      <c r="A129" t="s">
        <v>737</v>
      </c>
      <c r="B129" t="s">
        <v>980</v>
      </c>
      <c r="C129" t="s">
        <v>1082</v>
      </c>
      <c r="D129">
        <v>85</v>
      </c>
    </row>
    <row r="130" spans="1:7" x14ac:dyDescent="0.15">
      <c r="A130" t="s">
        <v>980</v>
      </c>
      <c r="B130" t="s">
        <v>737</v>
      </c>
      <c r="C130" t="s">
        <v>1083</v>
      </c>
      <c r="D130">
        <v>85</v>
      </c>
    </row>
    <row r="131" spans="1:7" x14ac:dyDescent="0.15">
      <c r="A131" t="s">
        <v>737</v>
      </c>
      <c r="B131" t="s">
        <v>980</v>
      </c>
      <c r="C131" t="s">
        <v>1084</v>
      </c>
      <c r="D131">
        <v>85</v>
      </c>
    </row>
    <row r="132" spans="1:7" x14ac:dyDescent="0.15">
      <c r="A132" t="s">
        <v>980</v>
      </c>
      <c r="B132" t="s">
        <v>737</v>
      </c>
      <c r="C132" t="s">
        <v>1085</v>
      </c>
      <c r="D132">
        <v>85</v>
      </c>
    </row>
    <row r="133" spans="1:7" x14ac:dyDescent="0.15">
      <c r="A133" t="s">
        <v>1086</v>
      </c>
      <c r="B133" t="s">
        <v>989</v>
      </c>
      <c r="C133" t="s">
        <v>731</v>
      </c>
      <c r="D133" t="s">
        <v>1087</v>
      </c>
      <c r="E133">
        <v>0</v>
      </c>
      <c r="F133" t="s">
        <v>865</v>
      </c>
      <c r="G133">
        <v>81</v>
      </c>
    </row>
    <row r="134" spans="1:7" x14ac:dyDescent="0.15">
      <c r="A134" t="s">
        <v>731</v>
      </c>
      <c r="B134" t="s">
        <v>989</v>
      </c>
      <c r="C134" t="s">
        <v>1088</v>
      </c>
      <c r="D134">
        <v>81</v>
      </c>
    </row>
    <row r="135" spans="1:7" x14ac:dyDescent="0.15">
      <c r="A135" t="s">
        <v>1089</v>
      </c>
      <c r="B135" t="s">
        <v>988</v>
      </c>
      <c r="C135" t="s">
        <v>980</v>
      </c>
      <c r="D135" t="s">
        <v>1090</v>
      </c>
      <c r="E135">
        <v>0</v>
      </c>
      <c r="F135" t="s">
        <v>865</v>
      </c>
      <c r="G135">
        <v>79</v>
      </c>
    </row>
    <row r="136" spans="1:7" x14ac:dyDescent="0.15">
      <c r="A136" t="s">
        <v>980</v>
      </c>
      <c r="B136" t="s">
        <v>988</v>
      </c>
      <c r="C136" t="s">
        <v>888</v>
      </c>
      <c r="D136">
        <v>79</v>
      </c>
    </row>
    <row r="137" spans="1:7" x14ac:dyDescent="0.15">
      <c r="A137" t="s">
        <v>1091</v>
      </c>
      <c r="B137" t="s">
        <v>830</v>
      </c>
      <c r="C137" t="s">
        <v>980</v>
      </c>
      <c r="D137" t="s">
        <v>996</v>
      </c>
      <c r="E137">
        <v>0</v>
      </c>
      <c r="F137" t="s">
        <v>865</v>
      </c>
      <c r="G137">
        <v>60</v>
      </c>
    </row>
    <row r="138" spans="1:7" x14ac:dyDescent="0.15">
      <c r="A138" t="s">
        <v>830</v>
      </c>
      <c r="B138" t="s">
        <v>980</v>
      </c>
      <c r="C138" t="s">
        <v>1092</v>
      </c>
      <c r="D138">
        <v>60</v>
      </c>
    </row>
    <row r="139" spans="1:7" x14ac:dyDescent="0.15">
      <c r="A139" t="s">
        <v>980</v>
      </c>
      <c r="B139" t="s">
        <v>830</v>
      </c>
      <c r="C139" t="s">
        <v>1093</v>
      </c>
      <c r="D139">
        <v>60</v>
      </c>
    </row>
    <row r="140" spans="1:7" x14ac:dyDescent="0.15">
      <c r="A140" t="s">
        <v>980</v>
      </c>
      <c r="B140" t="s">
        <v>830</v>
      </c>
      <c r="C140" t="s">
        <v>1094</v>
      </c>
      <c r="D140">
        <v>60</v>
      </c>
    </row>
    <row r="141" spans="1:7" x14ac:dyDescent="0.15">
      <c r="A141" t="s">
        <v>1095</v>
      </c>
      <c r="B141" t="s">
        <v>980</v>
      </c>
      <c r="C141" t="s">
        <v>990</v>
      </c>
      <c r="D141" t="s">
        <v>903</v>
      </c>
      <c r="E141">
        <v>0</v>
      </c>
      <c r="F141" t="s">
        <v>865</v>
      </c>
      <c r="G141">
        <v>47</v>
      </c>
    </row>
    <row r="142" spans="1:7" x14ac:dyDescent="0.15">
      <c r="A142" t="s">
        <v>990</v>
      </c>
      <c r="B142" t="s">
        <v>980</v>
      </c>
      <c r="C142" t="s">
        <v>1096</v>
      </c>
      <c r="D142">
        <v>47</v>
      </c>
    </row>
    <row r="143" spans="1:7" x14ac:dyDescent="0.15">
      <c r="A143" t="s">
        <v>990</v>
      </c>
      <c r="B143" t="s">
        <v>980</v>
      </c>
      <c r="C143" t="s">
        <v>1097</v>
      </c>
      <c r="D143">
        <v>47</v>
      </c>
    </row>
    <row r="144" spans="1:7" x14ac:dyDescent="0.15">
      <c r="A144" t="s">
        <v>980</v>
      </c>
      <c r="B144" t="s">
        <v>990</v>
      </c>
      <c r="C144" t="s">
        <v>1058</v>
      </c>
      <c r="D144">
        <v>47</v>
      </c>
    </row>
    <row r="145" spans="1:7" x14ac:dyDescent="0.15">
      <c r="A145" t="s">
        <v>1098</v>
      </c>
      <c r="B145" t="s">
        <v>978</v>
      </c>
      <c r="C145" t="s">
        <v>990</v>
      </c>
      <c r="D145" t="s">
        <v>1099</v>
      </c>
      <c r="E145">
        <v>0</v>
      </c>
      <c r="F145" t="s">
        <v>865</v>
      </c>
      <c r="G145">
        <v>40</v>
      </c>
    </row>
    <row r="146" spans="1:7" x14ac:dyDescent="0.15">
      <c r="A146" t="s">
        <v>990</v>
      </c>
      <c r="B146" t="s">
        <v>978</v>
      </c>
      <c r="C146" t="s">
        <v>1100</v>
      </c>
      <c r="D146">
        <v>40</v>
      </c>
    </row>
    <row r="147" spans="1:7" x14ac:dyDescent="0.15">
      <c r="A147" t="s">
        <v>978</v>
      </c>
      <c r="B147" t="s">
        <v>990</v>
      </c>
      <c r="C147" t="s">
        <v>1101</v>
      </c>
      <c r="D147">
        <v>40</v>
      </c>
    </row>
    <row r="148" spans="1:7" x14ac:dyDescent="0.15">
      <c r="A148" t="s">
        <v>990</v>
      </c>
      <c r="B148" t="s">
        <v>978</v>
      </c>
      <c r="C148" t="s">
        <v>1102</v>
      </c>
      <c r="D148">
        <v>40</v>
      </c>
    </row>
  </sheetData>
  <pageMargins left="0.7" right="0.7" top="0.75" bottom="0.75" header="0.5" footer="0.5"/>
  <pageSetup orientation="portrait" horizontalDpi="4294967292" verticalDpi="429496729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4"/>
  <sheetViews>
    <sheetView workbookViewId="0">
      <selection activeCell="E21" sqref="E21"/>
    </sheetView>
  </sheetViews>
  <sheetFormatPr baseColWidth="10" defaultRowHeight="13" x14ac:dyDescent="0.15"/>
  <cols>
    <col min="1" max="1" width="21.5" customWidth="1"/>
    <col min="2" max="2" width="12.33203125" customWidth="1"/>
    <col min="5" max="5" width="22.5" customWidth="1"/>
  </cols>
  <sheetData>
    <row r="1" spans="1:9" s="132" customFormat="1" ht="18" x14ac:dyDescent="0.2"/>
    <row r="2" spans="1:9" s="135" customFormat="1" ht="18" x14ac:dyDescent="0.2">
      <c r="A2" s="134" t="s">
        <v>650</v>
      </c>
      <c r="B2" s="134" t="s">
        <v>662</v>
      </c>
      <c r="C2" s="134" t="s">
        <v>663</v>
      </c>
      <c r="D2" s="134" t="s">
        <v>1106</v>
      </c>
      <c r="E2" s="134" t="s">
        <v>657</v>
      </c>
      <c r="F2" s="133" t="s">
        <v>658</v>
      </c>
    </row>
    <row r="3" spans="1:9" ht="16" x14ac:dyDescent="0.2">
      <c r="A3" s="129" t="s">
        <v>1107</v>
      </c>
      <c r="B3" s="130">
        <v>8087</v>
      </c>
      <c r="C3" s="130">
        <v>4.26</v>
      </c>
      <c r="D3" s="130">
        <v>1898</v>
      </c>
      <c r="E3" s="130">
        <v>4201</v>
      </c>
      <c r="F3" s="130">
        <v>3886</v>
      </c>
      <c r="I3" s="130"/>
    </row>
    <row r="4" spans="1:9" ht="16" x14ac:dyDescent="0.2">
      <c r="A4" s="129" t="s">
        <v>847</v>
      </c>
      <c r="B4" s="130">
        <v>8019</v>
      </c>
      <c r="C4" s="130">
        <v>4.17</v>
      </c>
      <c r="D4" s="130">
        <v>1922</v>
      </c>
      <c r="E4" s="130">
        <v>3845</v>
      </c>
      <c r="F4" s="130">
        <v>4174</v>
      </c>
      <c r="I4" s="130"/>
    </row>
    <row r="5" spans="1:9" ht="16" x14ac:dyDescent="0.2">
      <c r="A5" s="129" t="s">
        <v>980</v>
      </c>
      <c r="B5" s="131">
        <v>7781</v>
      </c>
      <c r="C5" s="131">
        <v>4.09</v>
      </c>
      <c r="D5" s="131">
        <v>1903</v>
      </c>
      <c r="E5" s="131">
        <v>3632</v>
      </c>
      <c r="F5" s="131">
        <v>4149</v>
      </c>
      <c r="I5" s="131"/>
    </row>
    <row r="6" spans="1:9" ht="16" x14ac:dyDescent="0.2">
      <c r="A6" s="129" t="s">
        <v>988</v>
      </c>
      <c r="B6" s="130">
        <v>7721</v>
      </c>
      <c r="C6" s="130">
        <v>4.07</v>
      </c>
      <c r="D6" s="130">
        <v>1896</v>
      </c>
      <c r="E6" s="130">
        <v>3776</v>
      </c>
      <c r="F6" s="130">
        <v>3945</v>
      </c>
      <c r="I6" s="130"/>
    </row>
    <row r="7" spans="1:9" ht="16" x14ac:dyDescent="0.2">
      <c r="A7" s="129" t="s">
        <v>1108</v>
      </c>
      <c r="B7" s="130">
        <v>7520</v>
      </c>
      <c r="C7" s="130">
        <v>3.98</v>
      </c>
      <c r="D7" s="130">
        <v>1890</v>
      </c>
      <c r="E7" s="130">
        <v>3794</v>
      </c>
      <c r="F7" s="130">
        <v>3726</v>
      </c>
      <c r="I7" s="130"/>
    </row>
    <row r="8" spans="1:9" ht="16" x14ac:dyDescent="0.2">
      <c r="A8" s="129" t="s">
        <v>731</v>
      </c>
      <c r="B8" s="130">
        <v>7496</v>
      </c>
      <c r="C8" s="130">
        <v>3.9</v>
      </c>
      <c r="D8" s="130">
        <v>1922</v>
      </c>
      <c r="E8" s="130">
        <v>3513</v>
      </c>
      <c r="F8" s="130">
        <v>3983</v>
      </c>
      <c r="I8" s="130"/>
    </row>
    <row r="9" spans="1:9" ht="16" x14ac:dyDescent="0.2">
      <c r="A9" s="129" t="s">
        <v>737</v>
      </c>
      <c r="B9" s="130">
        <v>7371</v>
      </c>
      <c r="C9" s="130">
        <v>4.0999999999999996</v>
      </c>
      <c r="D9" s="130">
        <v>1796</v>
      </c>
      <c r="E9" s="130">
        <v>3456</v>
      </c>
      <c r="F9" s="130">
        <v>3915</v>
      </c>
      <c r="I9" s="130"/>
    </row>
    <row r="10" spans="1:9" ht="16" x14ac:dyDescent="0.2">
      <c r="A10" s="129" t="s">
        <v>848</v>
      </c>
      <c r="B10" s="130">
        <v>7217</v>
      </c>
      <c r="C10" s="130">
        <v>3.77</v>
      </c>
      <c r="D10" s="130">
        <v>1916</v>
      </c>
      <c r="E10" s="130">
        <v>3496</v>
      </c>
      <c r="F10" s="130">
        <v>3721</v>
      </c>
      <c r="I10" s="130"/>
    </row>
    <row r="11" spans="1:9" ht="16" x14ac:dyDescent="0.2">
      <c r="A11" s="129" t="s">
        <v>982</v>
      </c>
      <c r="B11" s="130">
        <v>7084</v>
      </c>
      <c r="C11" s="130">
        <v>3.73</v>
      </c>
      <c r="D11" s="130">
        <v>1898</v>
      </c>
      <c r="E11" s="130">
        <v>3531</v>
      </c>
      <c r="F11" s="130">
        <v>3553</v>
      </c>
      <c r="I11" s="130"/>
    </row>
    <row r="12" spans="1:9" ht="16" x14ac:dyDescent="0.2">
      <c r="A12" s="129" t="s">
        <v>1109</v>
      </c>
      <c r="B12" s="130">
        <v>7045</v>
      </c>
      <c r="C12" s="130">
        <v>3.76</v>
      </c>
      <c r="D12" s="130">
        <v>1876</v>
      </c>
      <c r="E12" s="130">
        <v>3529</v>
      </c>
      <c r="F12" s="130">
        <v>3516</v>
      </c>
      <c r="I12" s="130"/>
    </row>
    <row r="13" spans="1:9" ht="16" x14ac:dyDescent="0.2">
      <c r="A13" s="129" t="s">
        <v>1110</v>
      </c>
      <c r="B13" s="130">
        <v>7018</v>
      </c>
      <c r="C13" s="130">
        <v>3.68</v>
      </c>
      <c r="D13" s="130">
        <v>1908</v>
      </c>
      <c r="E13" s="130">
        <v>3565</v>
      </c>
      <c r="F13" s="130">
        <v>3453</v>
      </c>
      <c r="I13" s="130"/>
    </row>
    <row r="14" spans="1:9" ht="16" x14ac:dyDescent="0.2">
      <c r="A14" s="129" t="s">
        <v>1111</v>
      </c>
      <c r="B14" s="130">
        <v>6986</v>
      </c>
      <c r="C14" s="130">
        <v>3.7</v>
      </c>
      <c r="D14" s="130">
        <v>1890</v>
      </c>
      <c r="E14" s="130">
        <v>3421</v>
      </c>
      <c r="F14" s="130">
        <v>3565</v>
      </c>
      <c r="I14" s="130"/>
    </row>
  </sheetData>
  <hyperlinks>
    <hyperlink ref="A3" r:id="rId1" xr:uid="{00000000-0004-0000-1000-000000000000}"/>
    <hyperlink ref="A4" r:id="rId2" xr:uid="{00000000-0004-0000-1000-000001000000}"/>
    <hyperlink ref="A5" r:id="rId3" xr:uid="{00000000-0004-0000-1000-000002000000}"/>
    <hyperlink ref="A6" r:id="rId4" xr:uid="{00000000-0004-0000-1000-000003000000}"/>
    <hyperlink ref="A7" r:id="rId5" xr:uid="{00000000-0004-0000-1000-000004000000}"/>
    <hyperlink ref="A8" r:id="rId6" xr:uid="{00000000-0004-0000-1000-000005000000}"/>
    <hyperlink ref="A9" r:id="rId7" xr:uid="{00000000-0004-0000-1000-000006000000}"/>
    <hyperlink ref="A10" r:id="rId8" xr:uid="{00000000-0004-0000-1000-000007000000}"/>
    <hyperlink ref="A11" r:id="rId9" xr:uid="{00000000-0004-0000-1000-000008000000}"/>
    <hyperlink ref="A12" r:id="rId10" xr:uid="{00000000-0004-0000-1000-000009000000}"/>
    <hyperlink ref="A13" r:id="rId11" xr:uid="{00000000-0004-0000-1000-00000A000000}"/>
    <hyperlink ref="A14" r:id="rId12" xr:uid="{00000000-0004-0000-1000-00000B000000}"/>
    <hyperlink ref="B2" r:id="rId13" display="Diff" xr:uid="{00000000-0004-0000-1000-00000C000000}"/>
    <hyperlink ref="D2" r:id="rId14" tooltip="Games Played" xr:uid="{00000000-0004-0000-1000-00000D000000}"/>
  </hyperlinks>
  <pageMargins left="0.7" right="0.7" top="0.75" bottom="0.7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3"/>
  <sheetViews>
    <sheetView workbookViewId="0">
      <selection sqref="A1:XFD1"/>
    </sheetView>
  </sheetViews>
  <sheetFormatPr baseColWidth="10" defaultRowHeight="13" x14ac:dyDescent="0.15"/>
  <cols>
    <col min="1" max="1" width="27.6640625" customWidth="1"/>
    <col min="5" max="5" width="19.6640625" customWidth="1"/>
  </cols>
  <sheetData>
    <row r="1" spans="1:9" s="135" customFormat="1" ht="18" x14ac:dyDescent="0.2">
      <c r="A1" s="134" t="s">
        <v>650</v>
      </c>
      <c r="B1" s="134" t="s">
        <v>662</v>
      </c>
      <c r="C1" s="134" t="s">
        <v>663</v>
      </c>
      <c r="D1" s="134" t="s">
        <v>1106</v>
      </c>
      <c r="E1" s="134" t="s">
        <v>657</v>
      </c>
      <c r="F1" s="133" t="s">
        <v>658</v>
      </c>
    </row>
    <row r="2" spans="1:9" ht="16" x14ac:dyDescent="0.2">
      <c r="A2" s="129" t="s">
        <v>731</v>
      </c>
      <c r="B2" s="130">
        <v>8137</v>
      </c>
      <c r="C2" s="130">
        <v>4.3</v>
      </c>
      <c r="D2" s="130">
        <v>1891</v>
      </c>
      <c r="E2" s="130">
        <v>3815</v>
      </c>
      <c r="F2" s="130">
        <v>4322</v>
      </c>
      <c r="I2" s="130"/>
    </row>
    <row r="3" spans="1:9" ht="16" x14ac:dyDescent="0.2">
      <c r="A3" s="129" t="s">
        <v>847</v>
      </c>
      <c r="B3" s="130">
        <v>8123</v>
      </c>
      <c r="C3" s="130">
        <v>4.2300000000000004</v>
      </c>
      <c r="D3" s="130">
        <v>1922</v>
      </c>
      <c r="E3" s="130">
        <v>3717</v>
      </c>
      <c r="F3" s="130">
        <v>4406</v>
      </c>
      <c r="I3" s="130"/>
    </row>
    <row r="4" spans="1:9" ht="16" x14ac:dyDescent="0.2">
      <c r="A4" s="129" t="s">
        <v>1110</v>
      </c>
      <c r="B4" s="130">
        <v>7849</v>
      </c>
      <c r="C4" s="130">
        <v>4.12</v>
      </c>
      <c r="D4" s="130">
        <v>1904</v>
      </c>
      <c r="E4" s="130">
        <v>3952</v>
      </c>
      <c r="F4" s="130">
        <v>3897</v>
      </c>
      <c r="I4" s="130"/>
    </row>
    <row r="5" spans="1:9" ht="16" x14ac:dyDescent="0.2">
      <c r="A5" s="129" t="s">
        <v>1112</v>
      </c>
      <c r="B5" s="130">
        <v>7809</v>
      </c>
      <c r="C5" s="130">
        <v>4.1399999999999997</v>
      </c>
      <c r="D5" s="130">
        <v>1888</v>
      </c>
      <c r="E5" s="130">
        <v>3867</v>
      </c>
      <c r="F5" s="130">
        <v>3942</v>
      </c>
      <c r="I5" s="130"/>
    </row>
    <row r="6" spans="1:9" ht="16" x14ac:dyDescent="0.2">
      <c r="A6" s="129" t="s">
        <v>1113</v>
      </c>
      <c r="B6" s="130">
        <v>7666</v>
      </c>
      <c r="C6" s="130">
        <v>4.01</v>
      </c>
      <c r="D6" s="130">
        <v>1912</v>
      </c>
      <c r="E6" s="130">
        <v>3663</v>
      </c>
      <c r="F6" s="130">
        <v>4003</v>
      </c>
      <c r="I6" s="130"/>
    </row>
    <row r="7" spans="1:9" ht="16" x14ac:dyDescent="0.2">
      <c r="A7" s="129" t="s">
        <v>848</v>
      </c>
      <c r="B7" s="130">
        <v>7531</v>
      </c>
      <c r="C7" s="130">
        <v>3.98</v>
      </c>
      <c r="D7" s="130">
        <v>1894</v>
      </c>
      <c r="E7" s="130">
        <v>3945</v>
      </c>
      <c r="F7" s="130">
        <v>3586</v>
      </c>
      <c r="I7" s="130"/>
    </row>
    <row r="8" spans="1:9" ht="16" x14ac:dyDescent="0.2">
      <c r="A8" s="129" t="s">
        <v>1108</v>
      </c>
      <c r="B8" s="130">
        <v>7419</v>
      </c>
      <c r="C8" s="130">
        <v>3.98</v>
      </c>
      <c r="D8" s="130">
        <v>1863</v>
      </c>
      <c r="E8" s="130">
        <v>3461</v>
      </c>
      <c r="F8" s="130">
        <v>3958</v>
      </c>
      <c r="I8" s="130"/>
    </row>
    <row r="9" spans="1:9" ht="16" x14ac:dyDescent="0.2">
      <c r="A9" s="129" t="s">
        <v>1114</v>
      </c>
      <c r="B9" s="131">
        <v>7201</v>
      </c>
      <c r="C9" s="131">
        <v>3.79</v>
      </c>
      <c r="D9" s="131">
        <v>1902</v>
      </c>
      <c r="E9" s="131">
        <v>3467</v>
      </c>
      <c r="F9" s="131">
        <v>3734</v>
      </c>
      <c r="I9" s="131"/>
    </row>
    <row r="10" spans="1:9" ht="16" x14ac:dyDescent="0.2">
      <c r="A10" s="129" t="s">
        <v>1109</v>
      </c>
      <c r="B10" s="130">
        <v>6957</v>
      </c>
      <c r="C10" s="130">
        <v>3.74</v>
      </c>
      <c r="D10" s="130">
        <v>1859</v>
      </c>
      <c r="E10" s="130">
        <v>3400</v>
      </c>
      <c r="F10" s="130">
        <v>3557</v>
      </c>
      <c r="I10" s="130"/>
    </row>
    <row r="11" spans="1:9" ht="16" x14ac:dyDescent="0.2">
      <c r="A11" s="129" t="s">
        <v>1115</v>
      </c>
      <c r="B11" s="130">
        <v>6524</v>
      </c>
      <c r="C11" s="130">
        <v>3.54</v>
      </c>
      <c r="D11" s="130">
        <v>1841</v>
      </c>
      <c r="E11" s="130">
        <v>2941</v>
      </c>
      <c r="F11" s="130">
        <v>3583</v>
      </c>
      <c r="I11" s="130"/>
    </row>
    <row r="12" spans="1:9" ht="16" x14ac:dyDescent="0.2">
      <c r="A12" s="129" t="s">
        <v>1116</v>
      </c>
      <c r="B12" s="130">
        <v>6517</v>
      </c>
      <c r="C12" s="130">
        <v>3.39</v>
      </c>
      <c r="D12" s="130">
        <v>1920</v>
      </c>
      <c r="E12" s="130">
        <v>3016</v>
      </c>
      <c r="F12" s="130">
        <v>3501</v>
      </c>
      <c r="I12" s="130"/>
    </row>
    <row r="13" spans="1:9" ht="16" x14ac:dyDescent="0.2">
      <c r="A13" s="129" t="s">
        <v>982</v>
      </c>
      <c r="B13" s="130">
        <v>6416</v>
      </c>
      <c r="C13" s="130">
        <v>3.4</v>
      </c>
      <c r="D13" s="130">
        <v>1885</v>
      </c>
      <c r="E13" s="130">
        <v>3154</v>
      </c>
      <c r="F13" s="130">
        <v>3262</v>
      </c>
      <c r="I13" s="130"/>
    </row>
  </sheetData>
  <hyperlinks>
    <hyperlink ref="A2" r:id="rId1" xr:uid="{00000000-0004-0000-1100-000000000000}"/>
    <hyperlink ref="A3" r:id="rId2" xr:uid="{00000000-0004-0000-1100-000001000000}"/>
    <hyperlink ref="A4" r:id="rId3" xr:uid="{00000000-0004-0000-1100-000002000000}"/>
    <hyperlink ref="A5" r:id="rId4" xr:uid="{00000000-0004-0000-1100-000003000000}"/>
    <hyperlink ref="A6" r:id="rId5" xr:uid="{00000000-0004-0000-1100-000004000000}"/>
    <hyperlink ref="A7" r:id="rId6" xr:uid="{00000000-0004-0000-1100-000005000000}"/>
    <hyperlink ref="A8" r:id="rId7" xr:uid="{00000000-0004-0000-1100-000006000000}"/>
    <hyperlink ref="A9" r:id="rId8" xr:uid="{00000000-0004-0000-1100-000007000000}"/>
    <hyperlink ref="A10" r:id="rId9" xr:uid="{00000000-0004-0000-1100-000008000000}"/>
    <hyperlink ref="A11" r:id="rId10" xr:uid="{00000000-0004-0000-1100-000009000000}"/>
    <hyperlink ref="A12" r:id="rId11" xr:uid="{00000000-0004-0000-1100-00000A000000}"/>
    <hyperlink ref="A13" r:id="rId12" xr:uid="{00000000-0004-0000-1100-00000B000000}"/>
    <hyperlink ref="B1" r:id="rId13" display="Diff" xr:uid="{00000000-0004-0000-1100-00000C000000}"/>
    <hyperlink ref="D1" r:id="rId14" tooltip="Games Played" xr:uid="{00000000-0004-0000-1100-00000D000000}"/>
  </hyperlinks>
  <pageMargins left="0.7" right="0.7" top="0.75" bottom="0.7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3"/>
  <sheetViews>
    <sheetView workbookViewId="0">
      <selection sqref="A1:XFD1"/>
    </sheetView>
  </sheetViews>
  <sheetFormatPr baseColWidth="10" defaultRowHeight="13" x14ac:dyDescent="0.15"/>
  <cols>
    <col min="1" max="1" width="31.5" customWidth="1"/>
    <col min="2" max="2" width="16" customWidth="1"/>
  </cols>
  <sheetData>
    <row r="1" spans="1:9" s="137" customFormat="1" ht="18" x14ac:dyDescent="0.2">
      <c r="A1" s="136" t="s">
        <v>650</v>
      </c>
      <c r="B1" s="136" t="s">
        <v>662</v>
      </c>
      <c r="C1" s="136" t="s">
        <v>663</v>
      </c>
      <c r="D1" s="136" t="s">
        <v>1106</v>
      </c>
      <c r="E1" s="136" t="s">
        <v>657</v>
      </c>
      <c r="F1" s="137" t="s">
        <v>658</v>
      </c>
    </row>
    <row r="2" spans="1:9" ht="16" x14ac:dyDescent="0.2">
      <c r="A2" s="129" t="s">
        <v>731</v>
      </c>
      <c r="B2" s="130">
        <v>8255</v>
      </c>
      <c r="C2" s="130">
        <v>4.33</v>
      </c>
      <c r="D2" s="130">
        <v>1905</v>
      </c>
      <c r="E2" s="130">
        <v>3863</v>
      </c>
      <c r="F2" s="130">
        <v>4392</v>
      </c>
      <c r="I2" s="130"/>
    </row>
    <row r="3" spans="1:9" ht="16" x14ac:dyDescent="0.2">
      <c r="A3" s="129" t="s">
        <v>847</v>
      </c>
      <c r="B3" s="130">
        <v>8157</v>
      </c>
      <c r="C3" s="130">
        <v>4.24</v>
      </c>
      <c r="D3" s="130">
        <v>1922</v>
      </c>
      <c r="E3" s="130">
        <v>3918</v>
      </c>
      <c r="F3" s="130">
        <v>4239</v>
      </c>
      <c r="I3" s="130"/>
    </row>
    <row r="4" spans="1:9" ht="16" x14ac:dyDescent="0.2">
      <c r="A4" s="129" t="s">
        <v>1117</v>
      </c>
      <c r="B4" s="130">
        <v>8043</v>
      </c>
      <c r="C4" s="130">
        <v>4.22</v>
      </c>
      <c r="D4" s="130">
        <v>1907</v>
      </c>
      <c r="E4" s="130">
        <v>3921</v>
      </c>
      <c r="F4" s="130">
        <v>4122</v>
      </c>
      <c r="I4" s="130"/>
    </row>
    <row r="5" spans="1:9" ht="16" x14ac:dyDescent="0.2">
      <c r="A5" s="129" t="s">
        <v>1118</v>
      </c>
      <c r="B5" s="131">
        <v>7908</v>
      </c>
      <c r="C5" s="131">
        <v>4.1399999999999997</v>
      </c>
      <c r="D5" s="131">
        <v>1910</v>
      </c>
      <c r="E5" s="131">
        <v>3578</v>
      </c>
      <c r="F5" s="131">
        <v>4330</v>
      </c>
      <c r="I5" s="131"/>
    </row>
    <row r="6" spans="1:9" ht="16" x14ac:dyDescent="0.2">
      <c r="A6" s="129" t="s">
        <v>1119</v>
      </c>
      <c r="B6" s="130">
        <v>7623</v>
      </c>
      <c r="C6" s="130">
        <v>4.05</v>
      </c>
      <c r="D6" s="130">
        <v>1883</v>
      </c>
      <c r="E6" s="130">
        <v>3937</v>
      </c>
      <c r="F6" s="130">
        <v>3686</v>
      </c>
      <c r="I6" s="130"/>
    </row>
    <row r="7" spans="1:9" ht="16" x14ac:dyDescent="0.2">
      <c r="A7" s="129" t="s">
        <v>848</v>
      </c>
      <c r="B7" s="130">
        <v>7534</v>
      </c>
      <c r="C7" s="130">
        <v>3.97</v>
      </c>
      <c r="D7" s="130">
        <v>1898</v>
      </c>
      <c r="E7" s="130">
        <v>3787</v>
      </c>
      <c r="F7" s="130">
        <v>3747</v>
      </c>
      <c r="I7" s="130"/>
    </row>
    <row r="8" spans="1:9" ht="16" x14ac:dyDescent="0.2">
      <c r="A8" s="129" t="s">
        <v>1120</v>
      </c>
      <c r="B8" s="130">
        <v>7482</v>
      </c>
      <c r="C8" s="130">
        <v>3.98</v>
      </c>
      <c r="D8" s="130">
        <v>1878</v>
      </c>
      <c r="E8" s="130">
        <v>3604</v>
      </c>
      <c r="F8" s="130">
        <v>3878</v>
      </c>
      <c r="I8" s="130"/>
    </row>
    <row r="9" spans="1:9" ht="16" x14ac:dyDescent="0.2">
      <c r="A9" s="129" t="s">
        <v>1109</v>
      </c>
      <c r="B9" s="130">
        <v>7258</v>
      </c>
      <c r="C9" s="130">
        <v>3.88</v>
      </c>
      <c r="D9" s="130">
        <v>1873</v>
      </c>
      <c r="E9" s="130">
        <v>3415</v>
      </c>
      <c r="F9" s="130">
        <v>3843</v>
      </c>
      <c r="I9" s="130"/>
    </row>
    <row r="10" spans="1:9" ht="16" x14ac:dyDescent="0.2">
      <c r="A10" s="129" t="s">
        <v>1121</v>
      </c>
      <c r="B10" s="130">
        <v>7033</v>
      </c>
      <c r="C10" s="130">
        <v>3.69</v>
      </c>
      <c r="D10" s="130">
        <v>1906</v>
      </c>
      <c r="E10" s="130">
        <v>3594</v>
      </c>
      <c r="F10" s="130">
        <v>3439</v>
      </c>
      <c r="I10" s="130"/>
    </row>
    <row r="11" spans="1:9" ht="16" x14ac:dyDescent="0.2">
      <c r="A11" s="129" t="s">
        <v>1110</v>
      </c>
      <c r="B11" s="130">
        <v>6966</v>
      </c>
      <c r="C11" s="130">
        <v>3.71</v>
      </c>
      <c r="D11" s="130">
        <v>1879</v>
      </c>
      <c r="E11" s="130">
        <v>3406</v>
      </c>
      <c r="F11" s="130">
        <v>3560</v>
      </c>
      <c r="I11" s="130"/>
    </row>
    <row r="12" spans="1:9" ht="16" x14ac:dyDescent="0.2">
      <c r="A12" s="129" t="s">
        <v>982</v>
      </c>
      <c r="B12" s="130">
        <v>6893</v>
      </c>
      <c r="C12" s="130">
        <v>3.64</v>
      </c>
      <c r="D12" s="130">
        <v>1893</v>
      </c>
      <c r="E12" s="130">
        <v>3583</v>
      </c>
      <c r="F12" s="130">
        <v>3310</v>
      </c>
      <c r="I12" s="130"/>
    </row>
    <row r="13" spans="1:9" ht="16" x14ac:dyDescent="0.2">
      <c r="A13" s="129" t="s">
        <v>1115</v>
      </c>
      <c r="B13" s="130">
        <v>6098</v>
      </c>
      <c r="C13" s="130">
        <v>3.57</v>
      </c>
      <c r="D13" s="130">
        <v>1708</v>
      </c>
      <c r="E13" s="130">
        <v>3149</v>
      </c>
      <c r="F13" s="130">
        <v>2949</v>
      </c>
      <c r="I13" s="130"/>
    </row>
  </sheetData>
  <hyperlinks>
    <hyperlink ref="B1" r:id="rId1" display="Diff" xr:uid="{00000000-0004-0000-1200-000000000000}"/>
    <hyperlink ref="D1" r:id="rId2" tooltip="Games Played" xr:uid="{00000000-0004-0000-1200-000001000000}"/>
    <hyperlink ref="A2" r:id="rId3" xr:uid="{00000000-0004-0000-1200-000002000000}"/>
    <hyperlink ref="A3" r:id="rId4" xr:uid="{00000000-0004-0000-1200-000003000000}"/>
    <hyperlink ref="A4" r:id="rId5" xr:uid="{00000000-0004-0000-1200-000004000000}"/>
    <hyperlink ref="A5" r:id="rId6" xr:uid="{00000000-0004-0000-1200-000005000000}"/>
    <hyperlink ref="A6" r:id="rId7" xr:uid="{00000000-0004-0000-1200-000006000000}"/>
    <hyperlink ref="A7" r:id="rId8" xr:uid="{00000000-0004-0000-1200-000007000000}"/>
    <hyperlink ref="A8" r:id="rId9" xr:uid="{00000000-0004-0000-1200-000008000000}"/>
    <hyperlink ref="A9" r:id="rId10" xr:uid="{00000000-0004-0000-1200-000009000000}"/>
    <hyperlink ref="A10" r:id="rId11" xr:uid="{00000000-0004-0000-1200-00000A000000}"/>
    <hyperlink ref="A11" r:id="rId12" xr:uid="{00000000-0004-0000-1200-00000B000000}"/>
    <hyperlink ref="A12" r:id="rId13" xr:uid="{00000000-0004-0000-1200-00000C000000}"/>
    <hyperlink ref="A13" r:id="rId14" xr:uid="{00000000-0004-0000-1200-00000D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3"/>
  <sheetViews>
    <sheetView workbookViewId="0">
      <selection activeCell="F30" sqref="F30"/>
    </sheetView>
  </sheetViews>
  <sheetFormatPr baseColWidth="10" defaultRowHeight="13" x14ac:dyDescent="0.15"/>
  <cols>
    <col min="1" max="1" width="23.33203125" customWidth="1"/>
  </cols>
  <sheetData>
    <row r="1" spans="1:8" s="137" customFormat="1" ht="18" x14ac:dyDescent="0.2">
      <c r="A1" s="136" t="s">
        <v>650</v>
      </c>
      <c r="B1" s="136" t="s">
        <v>662</v>
      </c>
      <c r="C1" s="136" t="s">
        <v>663</v>
      </c>
      <c r="D1" s="136" t="s">
        <v>1106</v>
      </c>
      <c r="E1" s="136" t="s">
        <v>657</v>
      </c>
      <c r="F1" s="137" t="s">
        <v>658</v>
      </c>
      <c r="G1" s="143" t="s">
        <v>1124</v>
      </c>
      <c r="H1" s="143" t="s">
        <v>1125</v>
      </c>
    </row>
    <row r="2" spans="1:8" x14ac:dyDescent="0.15">
      <c r="A2" t="s">
        <v>848</v>
      </c>
      <c r="B2">
        <v>8613</v>
      </c>
      <c r="C2">
        <v>4.5199999999999996</v>
      </c>
      <c r="D2">
        <v>1906</v>
      </c>
      <c r="E2">
        <v>4231</v>
      </c>
      <c r="F2">
        <v>4382</v>
      </c>
      <c r="G2">
        <v>6</v>
      </c>
      <c r="H2">
        <v>0</v>
      </c>
    </row>
    <row r="3" spans="1:8" x14ac:dyDescent="0.15">
      <c r="A3" t="s">
        <v>1135</v>
      </c>
      <c r="B3">
        <v>7981</v>
      </c>
      <c r="C3">
        <v>4.2</v>
      </c>
      <c r="D3">
        <v>1898</v>
      </c>
      <c r="E3">
        <v>4270</v>
      </c>
      <c r="F3">
        <v>3711</v>
      </c>
      <c r="G3">
        <v>8</v>
      </c>
      <c r="H3">
        <v>632</v>
      </c>
    </row>
    <row r="4" spans="1:8" x14ac:dyDescent="0.15">
      <c r="A4" t="s">
        <v>847</v>
      </c>
      <c r="B4">
        <v>7896</v>
      </c>
      <c r="C4">
        <v>4.13</v>
      </c>
      <c r="D4">
        <v>1912</v>
      </c>
      <c r="E4">
        <v>3968</v>
      </c>
      <c r="F4">
        <v>3928</v>
      </c>
      <c r="G4">
        <v>11</v>
      </c>
      <c r="H4">
        <v>717</v>
      </c>
    </row>
    <row r="5" spans="1:8" x14ac:dyDescent="0.15">
      <c r="A5" t="s">
        <v>982</v>
      </c>
      <c r="B5">
        <v>7769</v>
      </c>
      <c r="C5">
        <v>4.07</v>
      </c>
      <c r="D5">
        <v>1909</v>
      </c>
      <c r="E5">
        <v>3876</v>
      </c>
      <c r="F5">
        <v>3893</v>
      </c>
      <c r="G5">
        <v>5</v>
      </c>
      <c r="H5">
        <v>844</v>
      </c>
    </row>
    <row r="6" spans="1:8" x14ac:dyDescent="0.15">
      <c r="A6" t="s">
        <v>1136</v>
      </c>
      <c r="B6">
        <v>7537</v>
      </c>
      <c r="C6">
        <v>4.08</v>
      </c>
      <c r="D6">
        <v>1849</v>
      </c>
      <c r="E6">
        <v>3905</v>
      </c>
      <c r="F6">
        <v>3632</v>
      </c>
      <c r="G6">
        <v>4</v>
      </c>
      <c r="H6">
        <v>1076</v>
      </c>
    </row>
    <row r="7" spans="1:8" x14ac:dyDescent="0.15">
      <c r="A7" t="s">
        <v>1137</v>
      </c>
      <c r="B7">
        <v>7386</v>
      </c>
      <c r="C7">
        <v>3.85</v>
      </c>
      <c r="D7">
        <v>1919</v>
      </c>
      <c r="E7">
        <v>3680</v>
      </c>
      <c r="F7">
        <v>3706</v>
      </c>
      <c r="G7">
        <v>2</v>
      </c>
      <c r="H7">
        <v>1227</v>
      </c>
    </row>
    <row r="8" spans="1:8" x14ac:dyDescent="0.15">
      <c r="A8" t="s">
        <v>1138</v>
      </c>
      <c r="B8">
        <v>7202</v>
      </c>
      <c r="C8">
        <v>3.76</v>
      </c>
      <c r="D8">
        <v>1914</v>
      </c>
      <c r="E8">
        <v>3795</v>
      </c>
      <c r="F8">
        <v>3407</v>
      </c>
      <c r="G8">
        <v>7</v>
      </c>
      <c r="H8">
        <v>1411</v>
      </c>
    </row>
    <row r="9" spans="1:8" x14ac:dyDescent="0.15">
      <c r="A9" t="s">
        <v>1139</v>
      </c>
      <c r="B9">
        <v>7192</v>
      </c>
      <c r="C9">
        <v>3.86</v>
      </c>
      <c r="D9">
        <v>1864</v>
      </c>
      <c r="E9">
        <v>4087</v>
      </c>
      <c r="F9">
        <v>3105</v>
      </c>
      <c r="G9">
        <v>1</v>
      </c>
      <c r="H9">
        <v>1421</v>
      </c>
    </row>
    <row r="10" spans="1:8" x14ac:dyDescent="0.15">
      <c r="A10" t="s">
        <v>731</v>
      </c>
      <c r="B10">
        <v>7152</v>
      </c>
      <c r="C10">
        <v>3.89</v>
      </c>
      <c r="D10">
        <v>1840</v>
      </c>
      <c r="E10">
        <v>3493</v>
      </c>
      <c r="F10">
        <v>3659</v>
      </c>
      <c r="G10">
        <v>12</v>
      </c>
      <c r="H10">
        <v>1461</v>
      </c>
    </row>
    <row r="11" spans="1:8" x14ac:dyDescent="0.15">
      <c r="A11" t="s">
        <v>1127</v>
      </c>
      <c r="B11">
        <v>7086</v>
      </c>
      <c r="C11">
        <v>3.69</v>
      </c>
      <c r="D11">
        <v>1918</v>
      </c>
      <c r="E11">
        <v>3712</v>
      </c>
      <c r="F11">
        <v>3374</v>
      </c>
      <c r="G11">
        <v>10</v>
      </c>
      <c r="H11">
        <v>1527</v>
      </c>
    </row>
    <row r="12" spans="1:8" x14ac:dyDescent="0.15">
      <c r="A12" t="s">
        <v>1115</v>
      </c>
      <c r="B12">
        <v>6674</v>
      </c>
      <c r="C12">
        <v>3.68</v>
      </c>
      <c r="D12">
        <v>1815</v>
      </c>
      <c r="E12">
        <v>3592</v>
      </c>
      <c r="F12">
        <v>3082</v>
      </c>
      <c r="G12">
        <v>9</v>
      </c>
      <c r="H12">
        <v>1939</v>
      </c>
    </row>
    <row r="13" spans="1:8" x14ac:dyDescent="0.15">
      <c r="A13" t="s">
        <v>1109</v>
      </c>
      <c r="B13">
        <v>5923</v>
      </c>
      <c r="C13">
        <v>3.63</v>
      </c>
      <c r="D13">
        <v>1633</v>
      </c>
      <c r="E13">
        <v>2834</v>
      </c>
      <c r="F13">
        <v>3089</v>
      </c>
      <c r="G13">
        <v>3</v>
      </c>
      <c r="H13">
        <v>2690</v>
      </c>
    </row>
  </sheetData>
  <hyperlinks>
    <hyperlink ref="B1" r:id="rId1" display="Diff" xr:uid="{00000000-0004-0000-1300-000000000000}"/>
    <hyperlink ref="D1" r:id="rId2" tooltip="Games Played" xr:uid="{00000000-0004-0000-1300-000001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78A02-5019-664C-84F3-E51FFC907BF0}">
  <dimension ref="A1:H13"/>
  <sheetViews>
    <sheetView workbookViewId="0">
      <selection sqref="A1:XFD1"/>
    </sheetView>
  </sheetViews>
  <sheetFormatPr baseColWidth="10" defaultRowHeight="13" x14ac:dyDescent="0.15"/>
  <cols>
    <col min="1" max="1" width="22.83203125" customWidth="1"/>
  </cols>
  <sheetData>
    <row r="1" spans="1:8" s="137" customFormat="1" ht="18" x14ac:dyDescent="0.2">
      <c r="A1" s="136" t="s">
        <v>650</v>
      </c>
      <c r="B1" s="136" t="s">
        <v>662</v>
      </c>
      <c r="C1" s="136" t="s">
        <v>663</v>
      </c>
      <c r="D1" s="136" t="s">
        <v>1106</v>
      </c>
      <c r="E1" s="136" t="s">
        <v>657</v>
      </c>
      <c r="F1" s="137" t="s">
        <v>658</v>
      </c>
      <c r="G1" s="143" t="s">
        <v>1124</v>
      </c>
      <c r="H1" s="143" t="s">
        <v>1125</v>
      </c>
    </row>
    <row r="2" spans="1:8" x14ac:dyDescent="0.15">
      <c r="A2" t="s">
        <v>1127</v>
      </c>
      <c r="B2">
        <v>8271</v>
      </c>
      <c r="C2">
        <v>4.3899999999999997</v>
      </c>
      <c r="D2">
        <v>1886</v>
      </c>
      <c r="E2">
        <v>4130</v>
      </c>
      <c r="F2">
        <v>4141</v>
      </c>
      <c r="G2">
        <v>4</v>
      </c>
      <c r="H2">
        <v>0</v>
      </c>
    </row>
    <row r="3" spans="1:8" x14ac:dyDescent="0.15">
      <c r="A3" t="s">
        <v>731</v>
      </c>
      <c r="B3">
        <v>8116</v>
      </c>
      <c r="C3">
        <v>4.3099999999999996</v>
      </c>
      <c r="D3">
        <v>1884</v>
      </c>
      <c r="E3">
        <v>4431</v>
      </c>
      <c r="F3">
        <v>3685</v>
      </c>
      <c r="G3">
        <v>5</v>
      </c>
      <c r="H3">
        <v>155</v>
      </c>
    </row>
    <row r="4" spans="1:8" x14ac:dyDescent="0.15">
      <c r="A4" t="s">
        <v>1138</v>
      </c>
      <c r="B4">
        <v>8106</v>
      </c>
      <c r="C4">
        <v>4.26</v>
      </c>
      <c r="D4">
        <v>1901</v>
      </c>
      <c r="E4">
        <v>4098</v>
      </c>
      <c r="F4">
        <v>4008</v>
      </c>
      <c r="G4">
        <v>6</v>
      </c>
      <c r="H4">
        <v>165</v>
      </c>
    </row>
    <row r="5" spans="1:8" x14ac:dyDescent="0.15">
      <c r="A5" t="s">
        <v>1139</v>
      </c>
      <c r="B5">
        <v>7639</v>
      </c>
      <c r="C5">
        <v>4.18</v>
      </c>
      <c r="D5">
        <v>1829</v>
      </c>
      <c r="E5">
        <v>3781</v>
      </c>
      <c r="F5">
        <v>3858</v>
      </c>
      <c r="G5">
        <v>7</v>
      </c>
      <c r="H5">
        <v>632</v>
      </c>
    </row>
    <row r="6" spans="1:8" x14ac:dyDescent="0.15">
      <c r="A6" t="s">
        <v>1140</v>
      </c>
      <c r="B6">
        <v>7242</v>
      </c>
      <c r="C6">
        <v>3.85</v>
      </c>
      <c r="D6">
        <v>1879</v>
      </c>
      <c r="E6">
        <v>4078</v>
      </c>
      <c r="F6">
        <v>3164</v>
      </c>
      <c r="G6">
        <v>2</v>
      </c>
      <c r="H6">
        <v>1029</v>
      </c>
    </row>
    <row r="7" spans="1:8" x14ac:dyDescent="0.15">
      <c r="A7" t="s">
        <v>847</v>
      </c>
      <c r="B7">
        <v>7205</v>
      </c>
      <c r="C7">
        <v>3.78</v>
      </c>
      <c r="D7">
        <v>1906</v>
      </c>
      <c r="E7">
        <v>3959</v>
      </c>
      <c r="F7">
        <v>3246</v>
      </c>
      <c r="G7">
        <v>9</v>
      </c>
      <c r="H7">
        <v>1066</v>
      </c>
    </row>
    <row r="8" spans="1:8" x14ac:dyDescent="0.15">
      <c r="A8" t="s">
        <v>982</v>
      </c>
      <c r="B8">
        <v>7081</v>
      </c>
      <c r="C8">
        <v>3.75</v>
      </c>
      <c r="D8">
        <v>1890</v>
      </c>
      <c r="E8">
        <v>3741</v>
      </c>
      <c r="F8">
        <v>3340</v>
      </c>
      <c r="G8">
        <v>12</v>
      </c>
      <c r="H8">
        <v>1190</v>
      </c>
    </row>
    <row r="9" spans="1:8" x14ac:dyDescent="0.15">
      <c r="A9" t="s">
        <v>1141</v>
      </c>
      <c r="B9">
        <v>7056</v>
      </c>
      <c r="C9">
        <v>3.7</v>
      </c>
      <c r="D9">
        <v>1905</v>
      </c>
      <c r="E9">
        <v>3618</v>
      </c>
      <c r="F9">
        <v>3438</v>
      </c>
      <c r="G9">
        <v>8</v>
      </c>
      <c r="H9">
        <v>1215</v>
      </c>
    </row>
    <row r="10" spans="1:8" x14ac:dyDescent="0.15">
      <c r="A10" t="s">
        <v>1115</v>
      </c>
      <c r="B10">
        <v>6826</v>
      </c>
      <c r="C10">
        <v>3.83</v>
      </c>
      <c r="D10">
        <v>1783</v>
      </c>
      <c r="E10">
        <v>3568</v>
      </c>
      <c r="F10">
        <v>3258</v>
      </c>
      <c r="G10">
        <v>10</v>
      </c>
      <c r="H10">
        <v>1445</v>
      </c>
    </row>
    <row r="11" spans="1:8" x14ac:dyDescent="0.15">
      <c r="A11" t="s">
        <v>1136</v>
      </c>
      <c r="B11">
        <v>6785</v>
      </c>
      <c r="C11">
        <v>3.75</v>
      </c>
      <c r="D11">
        <v>1807</v>
      </c>
      <c r="E11">
        <v>3838</v>
      </c>
      <c r="F11">
        <v>2947</v>
      </c>
      <c r="G11">
        <v>3</v>
      </c>
      <c r="H11">
        <v>1486</v>
      </c>
    </row>
    <row r="12" spans="1:8" x14ac:dyDescent="0.15">
      <c r="A12" t="s">
        <v>848</v>
      </c>
      <c r="B12">
        <v>6617</v>
      </c>
      <c r="C12">
        <v>3.6</v>
      </c>
      <c r="D12">
        <v>1838</v>
      </c>
      <c r="E12">
        <v>3483</v>
      </c>
      <c r="F12">
        <v>3134</v>
      </c>
      <c r="G12">
        <v>11</v>
      </c>
      <c r="H12">
        <v>1654</v>
      </c>
    </row>
    <row r="13" spans="1:8" x14ac:dyDescent="0.15">
      <c r="A13" t="s">
        <v>1142</v>
      </c>
      <c r="B13">
        <v>5685</v>
      </c>
      <c r="C13">
        <v>3.39</v>
      </c>
      <c r="D13">
        <v>1677</v>
      </c>
      <c r="E13">
        <v>2967</v>
      </c>
      <c r="F13">
        <v>2718</v>
      </c>
      <c r="G13">
        <v>1</v>
      </c>
      <c r="H13">
        <v>2586</v>
      </c>
    </row>
  </sheetData>
  <hyperlinks>
    <hyperlink ref="B1" r:id="rId1" display="Diff" xr:uid="{9618AAC6-D4AD-D543-B562-8F0DFDB6E03D}"/>
    <hyperlink ref="D1" r:id="rId2" tooltip="Games Played" xr:uid="{5587CFBC-4D03-2142-876A-A887244D8FAF}"/>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BC1FC-BCAA-B343-8D94-042C09CCE5CC}">
  <dimension ref="A1:H13"/>
  <sheetViews>
    <sheetView workbookViewId="0">
      <selection sqref="A1:XFD1"/>
    </sheetView>
  </sheetViews>
  <sheetFormatPr baseColWidth="10" defaultRowHeight="13" x14ac:dyDescent="0.15"/>
  <cols>
    <col min="1" max="1" width="24.6640625" customWidth="1"/>
  </cols>
  <sheetData>
    <row r="1" spans="1:8" s="137" customFormat="1" ht="18" x14ac:dyDescent="0.2">
      <c r="A1" s="136" t="s">
        <v>650</v>
      </c>
      <c r="B1" s="136" t="s">
        <v>662</v>
      </c>
      <c r="C1" s="136" t="s">
        <v>663</v>
      </c>
      <c r="D1" s="136" t="s">
        <v>1106</v>
      </c>
      <c r="E1" s="136" t="s">
        <v>657</v>
      </c>
      <c r="F1" s="137" t="s">
        <v>658</v>
      </c>
      <c r="G1" s="143" t="s">
        <v>1124</v>
      </c>
      <c r="H1" s="143" t="s">
        <v>1125</v>
      </c>
    </row>
    <row r="2" spans="1:8" x14ac:dyDescent="0.15">
      <c r="A2" t="s">
        <v>1127</v>
      </c>
      <c r="B2">
        <v>8012</v>
      </c>
      <c r="C2">
        <v>4.21</v>
      </c>
      <c r="D2">
        <v>1903</v>
      </c>
      <c r="E2">
        <v>4225</v>
      </c>
      <c r="F2">
        <v>3787</v>
      </c>
      <c r="G2">
        <v>3</v>
      </c>
      <c r="H2">
        <v>0</v>
      </c>
    </row>
    <row r="3" spans="1:8" x14ac:dyDescent="0.15">
      <c r="A3" t="s">
        <v>1138</v>
      </c>
      <c r="B3">
        <v>7940</v>
      </c>
      <c r="C3">
        <v>4.1399999999999997</v>
      </c>
      <c r="D3">
        <v>1916</v>
      </c>
      <c r="E3">
        <v>4088</v>
      </c>
      <c r="F3">
        <v>3852</v>
      </c>
      <c r="G3">
        <v>10</v>
      </c>
      <c r="H3">
        <v>72</v>
      </c>
    </row>
    <row r="4" spans="1:8" x14ac:dyDescent="0.15">
      <c r="A4" t="s">
        <v>847</v>
      </c>
      <c r="B4">
        <v>7813</v>
      </c>
      <c r="C4">
        <v>4.1100000000000003</v>
      </c>
      <c r="D4">
        <v>1902</v>
      </c>
      <c r="E4">
        <v>3750</v>
      </c>
      <c r="F4">
        <v>4063</v>
      </c>
      <c r="G4">
        <v>1</v>
      </c>
      <c r="H4">
        <v>199</v>
      </c>
    </row>
    <row r="5" spans="1:8" x14ac:dyDescent="0.15">
      <c r="A5" t="s">
        <v>1143</v>
      </c>
      <c r="B5">
        <v>7743</v>
      </c>
      <c r="C5">
        <v>4.0199999999999996</v>
      </c>
      <c r="D5">
        <v>1928</v>
      </c>
      <c r="E5">
        <v>3868</v>
      </c>
      <c r="F5">
        <v>3875</v>
      </c>
      <c r="G5">
        <v>6</v>
      </c>
      <c r="H5">
        <v>269</v>
      </c>
    </row>
    <row r="6" spans="1:8" x14ac:dyDescent="0.15">
      <c r="A6" t="s">
        <v>1144</v>
      </c>
      <c r="B6">
        <v>7509</v>
      </c>
      <c r="C6">
        <v>3.97</v>
      </c>
      <c r="D6">
        <v>1891</v>
      </c>
      <c r="E6">
        <v>3656</v>
      </c>
      <c r="F6">
        <v>3853</v>
      </c>
      <c r="G6">
        <v>9</v>
      </c>
      <c r="H6">
        <v>503</v>
      </c>
    </row>
    <row r="7" spans="1:8" x14ac:dyDescent="0.15">
      <c r="A7" t="s">
        <v>848</v>
      </c>
      <c r="B7">
        <v>7213</v>
      </c>
      <c r="C7">
        <v>3.77</v>
      </c>
      <c r="D7">
        <v>1913</v>
      </c>
      <c r="E7">
        <v>3733</v>
      </c>
      <c r="F7">
        <v>3480</v>
      </c>
      <c r="G7">
        <v>5</v>
      </c>
      <c r="H7">
        <v>799</v>
      </c>
    </row>
    <row r="8" spans="1:8" x14ac:dyDescent="0.15">
      <c r="A8" t="s">
        <v>731</v>
      </c>
      <c r="B8">
        <v>7033</v>
      </c>
      <c r="C8">
        <v>3.75</v>
      </c>
      <c r="D8">
        <v>1873</v>
      </c>
      <c r="E8">
        <v>3648</v>
      </c>
      <c r="F8">
        <v>3385</v>
      </c>
      <c r="G8">
        <v>11</v>
      </c>
      <c r="H8">
        <v>979</v>
      </c>
    </row>
    <row r="9" spans="1:8" x14ac:dyDescent="0.15">
      <c r="A9" t="s">
        <v>1145</v>
      </c>
      <c r="B9">
        <v>7029</v>
      </c>
      <c r="C9">
        <v>3.76</v>
      </c>
      <c r="D9">
        <v>1868</v>
      </c>
      <c r="E9">
        <v>3542</v>
      </c>
      <c r="F9">
        <v>3487</v>
      </c>
      <c r="G9">
        <v>12</v>
      </c>
      <c r="H9">
        <v>983</v>
      </c>
    </row>
    <row r="10" spans="1:8" x14ac:dyDescent="0.15">
      <c r="A10" t="s">
        <v>1146</v>
      </c>
      <c r="B10">
        <v>6772</v>
      </c>
      <c r="C10">
        <v>3.6</v>
      </c>
      <c r="D10">
        <v>1881</v>
      </c>
      <c r="E10">
        <v>3781</v>
      </c>
      <c r="F10">
        <v>2991</v>
      </c>
      <c r="G10">
        <v>2</v>
      </c>
      <c r="H10">
        <v>1240</v>
      </c>
    </row>
    <row r="11" spans="1:8" x14ac:dyDescent="0.15">
      <c r="A11" t="s">
        <v>1147</v>
      </c>
      <c r="B11">
        <v>6708</v>
      </c>
      <c r="C11">
        <v>3.82</v>
      </c>
      <c r="D11">
        <v>1756</v>
      </c>
      <c r="E11">
        <v>2987</v>
      </c>
      <c r="F11">
        <v>3721</v>
      </c>
      <c r="G11">
        <v>4</v>
      </c>
      <c r="H11">
        <v>1304</v>
      </c>
    </row>
    <row r="12" spans="1:8" x14ac:dyDescent="0.15">
      <c r="A12" t="s">
        <v>1136</v>
      </c>
      <c r="B12">
        <v>6403</v>
      </c>
      <c r="C12">
        <v>3.61</v>
      </c>
      <c r="D12">
        <v>1775</v>
      </c>
      <c r="E12">
        <v>3277</v>
      </c>
      <c r="F12">
        <v>3126</v>
      </c>
      <c r="G12">
        <v>8</v>
      </c>
      <c r="H12">
        <v>1609</v>
      </c>
    </row>
    <row r="13" spans="1:8" x14ac:dyDescent="0.15">
      <c r="A13" t="s">
        <v>1115</v>
      </c>
      <c r="B13">
        <v>6304</v>
      </c>
      <c r="C13">
        <v>3.6</v>
      </c>
      <c r="D13">
        <v>1750</v>
      </c>
      <c r="E13">
        <v>3174</v>
      </c>
      <c r="F13">
        <v>3130</v>
      </c>
      <c r="G13">
        <v>7</v>
      </c>
      <c r="H13">
        <v>1708</v>
      </c>
    </row>
  </sheetData>
  <hyperlinks>
    <hyperlink ref="B1" r:id="rId1" display="Diff" xr:uid="{AE8D5DE6-7B7A-5F4B-8E91-3D6D716E3B5B}"/>
    <hyperlink ref="D1" r:id="rId2" tooltip="Games Played" xr:uid="{FB964CA2-4D3D-6542-84B5-64EC295C0C1E}"/>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7915B-11F6-C944-9834-CA3F8F0D1913}">
  <dimension ref="A1:H13"/>
  <sheetViews>
    <sheetView workbookViewId="0">
      <selection sqref="A1:XFD1"/>
    </sheetView>
  </sheetViews>
  <sheetFormatPr baseColWidth="10" defaultRowHeight="13" x14ac:dyDescent="0.15"/>
  <cols>
    <col min="1" max="1" width="21.33203125" customWidth="1"/>
  </cols>
  <sheetData>
    <row r="1" spans="1:8" s="137" customFormat="1" ht="18" x14ac:dyDescent="0.2">
      <c r="A1" s="136" t="s">
        <v>650</v>
      </c>
      <c r="B1" s="136" t="s">
        <v>662</v>
      </c>
      <c r="C1" s="136" t="s">
        <v>663</v>
      </c>
      <c r="D1" s="136" t="s">
        <v>1106</v>
      </c>
      <c r="E1" s="136" t="s">
        <v>657</v>
      </c>
      <c r="F1" s="137" t="s">
        <v>658</v>
      </c>
      <c r="G1" s="143" t="s">
        <v>1124</v>
      </c>
      <c r="H1" s="143" t="s">
        <v>1125</v>
      </c>
    </row>
    <row r="2" spans="1:8" x14ac:dyDescent="0.15">
      <c r="A2" t="s">
        <v>1138</v>
      </c>
      <c r="B2">
        <v>8710</v>
      </c>
      <c r="C2">
        <v>4.57</v>
      </c>
      <c r="D2">
        <v>1906</v>
      </c>
      <c r="E2">
        <v>4639</v>
      </c>
      <c r="F2">
        <v>4071</v>
      </c>
      <c r="G2">
        <v>7</v>
      </c>
      <c r="H2">
        <v>0</v>
      </c>
    </row>
    <row r="3" spans="1:8" x14ac:dyDescent="0.15">
      <c r="A3" t="s">
        <v>848</v>
      </c>
      <c r="B3">
        <v>8623</v>
      </c>
      <c r="C3">
        <v>4.5199999999999996</v>
      </c>
      <c r="D3">
        <v>1907</v>
      </c>
      <c r="E3">
        <v>4197</v>
      </c>
      <c r="F3">
        <v>4426</v>
      </c>
      <c r="G3">
        <v>11</v>
      </c>
      <c r="H3">
        <v>87</v>
      </c>
    </row>
    <row r="4" spans="1:8" x14ac:dyDescent="0.15">
      <c r="A4" t="s">
        <v>1139</v>
      </c>
      <c r="B4">
        <v>8255</v>
      </c>
      <c r="C4">
        <v>4.3600000000000003</v>
      </c>
      <c r="D4">
        <v>1894</v>
      </c>
      <c r="E4">
        <v>4163</v>
      </c>
      <c r="F4">
        <v>4092</v>
      </c>
      <c r="G4">
        <v>2</v>
      </c>
      <c r="H4">
        <v>455</v>
      </c>
    </row>
    <row r="5" spans="1:8" x14ac:dyDescent="0.15">
      <c r="A5" t="s">
        <v>1127</v>
      </c>
      <c r="B5">
        <v>7886</v>
      </c>
      <c r="C5">
        <v>4.13</v>
      </c>
      <c r="D5">
        <v>1908</v>
      </c>
      <c r="E5">
        <v>3919</v>
      </c>
      <c r="F5">
        <v>3967</v>
      </c>
      <c r="G5">
        <v>1</v>
      </c>
      <c r="H5">
        <v>824</v>
      </c>
    </row>
    <row r="6" spans="1:8" x14ac:dyDescent="0.15">
      <c r="A6" t="s">
        <v>1111</v>
      </c>
      <c r="B6">
        <v>7685</v>
      </c>
      <c r="C6">
        <v>4.1100000000000003</v>
      </c>
      <c r="D6">
        <v>1871</v>
      </c>
      <c r="E6">
        <v>4086</v>
      </c>
      <c r="F6">
        <v>3599</v>
      </c>
      <c r="G6">
        <v>12</v>
      </c>
      <c r="H6">
        <v>1025</v>
      </c>
    </row>
    <row r="7" spans="1:8" x14ac:dyDescent="0.15">
      <c r="A7" t="s">
        <v>731</v>
      </c>
      <c r="B7">
        <v>7512</v>
      </c>
      <c r="C7">
        <v>3.91</v>
      </c>
      <c r="D7">
        <v>1919</v>
      </c>
      <c r="E7">
        <v>4401</v>
      </c>
      <c r="F7">
        <v>3111</v>
      </c>
      <c r="G7">
        <v>10</v>
      </c>
      <c r="H7">
        <v>1198</v>
      </c>
    </row>
    <row r="8" spans="1:8" x14ac:dyDescent="0.15">
      <c r="A8" t="s">
        <v>1148</v>
      </c>
      <c r="B8">
        <v>7429</v>
      </c>
      <c r="C8">
        <v>3.95</v>
      </c>
      <c r="D8">
        <v>1882</v>
      </c>
      <c r="E8">
        <v>3710</v>
      </c>
      <c r="F8">
        <v>3719</v>
      </c>
      <c r="G8">
        <v>9</v>
      </c>
      <c r="H8">
        <v>1281</v>
      </c>
    </row>
    <row r="9" spans="1:8" x14ac:dyDescent="0.15">
      <c r="A9" t="s">
        <v>1136</v>
      </c>
      <c r="B9">
        <v>7416</v>
      </c>
      <c r="C9">
        <v>3.99</v>
      </c>
      <c r="D9">
        <v>1858</v>
      </c>
      <c r="E9">
        <v>4390</v>
      </c>
      <c r="F9">
        <v>3026</v>
      </c>
      <c r="G9">
        <v>5</v>
      </c>
      <c r="H9">
        <v>1294</v>
      </c>
    </row>
    <row r="10" spans="1:8" x14ac:dyDescent="0.15">
      <c r="A10" t="s">
        <v>847</v>
      </c>
      <c r="B10">
        <v>7217</v>
      </c>
      <c r="C10">
        <v>3.87</v>
      </c>
      <c r="D10">
        <v>1866</v>
      </c>
      <c r="E10">
        <v>3700</v>
      </c>
      <c r="F10">
        <v>3517</v>
      </c>
      <c r="G10">
        <v>4</v>
      </c>
      <c r="H10">
        <v>1493</v>
      </c>
    </row>
    <row r="11" spans="1:8" x14ac:dyDescent="0.15">
      <c r="A11" t="s">
        <v>1134</v>
      </c>
      <c r="B11">
        <v>6917</v>
      </c>
      <c r="C11">
        <v>3.86</v>
      </c>
      <c r="D11">
        <v>1793</v>
      </c>
      <c r="E11">
        <v>3652</v>
      </c>
      <c r="F11">
        <v>3265</v>
      </c>
      <c r="G11">
        <v>8</v>
      </c>
      <c r="H11">
        <v>1793</v>
      </c>
    </row>
    <row r="12" spans="1:8" x14ac:dyDescent="0.15">
      <c r="A12" t="s">
        <v>1115</v>
      </c>
      <c r="B12">
        <v>6795</v>
      </c>
      <c r="C12">
        <v>3.78</v>
      </c>
      <c r="D12">
        <v>1796</v>
      </c>
      <c r="E12">
        <v>3591</v>
      </c>
      <c r="F12">
        <v>3204</v>
      </c>
      <c r="G12">
        <v>6</v>
      </c>
      <c r="H12">
        <v>1915</v>
      </c>
    </row>
    <row r="13" spans="1:8" x14ac:dyDescent="0.15">
      <c r="A13" t="s">
        <v>1149</v>
      </c>
      <c r="B13">
        <v>6610</v>
      </c>
      <c r="C13">
        <v>3.49</v>
      </c>
      <c r="D13">
        <v>1894</v>
      </c>
      <c r="E13">
        <v>3530</v>
      </c>
      <c r="F13">
        <v>3080</v>
      </c>
      <c r="G13">
        <v>3</v>
      </c>
      <c r="H13">
        <v>2100</v>
      </c>
    </row>
  </sheetData>
  <hyperlinks>
    <hyperlink ref="B1" r:id="rId1" display="Diff" xr:uid="{AEE0B1B0-3383-6747-A327-3315664430B2}"/>
    <hyperlink ref="D1" r:id="rId2" tooltip="Games Played" xr:uid="{D27BB31C-4772-B24D-BD65-B6B65B611331}"/>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BF668-F59C-6246-A8E0-FDAD7B70F371}">
  <dimension ref="A1:K13"/>
  <sheetViews>
    <sheetView workbookViewId="0">
      <selection activeCell="A14" sqref="A14:A24"/>
    </sheetView>
  </sheetViews>
  <sheetFormatPr baseColWidth="10" defaultRowHeight="13" x14ac:dyDescent="0.15"/>
  <cols>
    <col min="1" max="1" width="22" customWidth="1"/>
    <col min="11" max="11" width="21.1640625" customWidth="1"/>
  </cols>
  <sheetData>
    <row r="1" spans="1:11" s="137" customFormat="1" ht="18" x14ac:dyDescent="0.2">
      <c r="A1" s="136" t="s">
        <v>650</v>
      </c>
      <c r="B1" s="136" t="s">
        <v>662</v>
      </c>
      <c r="C1" s="136" t="s">
        <v>663</v>
      </c>
      <c r="D1" s="136" t="s">
        <v>1106</v>
      </c>
      <c r="E1" s="136" t="s">
        <v>657</v>
      </c>
      <c r="F1" s="137" t="s">
        <v>658</v>
      </c>
      <c r="G1" s="143" t="s">
        <v>1124</v>
      </c>
      <c r="H1" s="143" t="s">
        <v>1125</v>
      </c>
      <c r="K1" s="143" t="s">
        <v>1150</v>
      </c>
    </row>
    <row r="2" spans="1:11" x14ac:dyDescent="0.15">
      <c r="A2" t="s">
        <v>847</v>
      </c>
      <c r="B2">
        <v>2777</v>
      </c>
      <c r="C2">
        <v>3.9</v>
      </c>
      <c r="D2">
        <v>712</v>
      </c>
      <c r="E2">
        <v>1488</v>
      </c>
      <c r="F2">
        <v>1289</v>
      </c>
      <c r="G2">
        <v>12</v>
      </c>
      <c r="H2">
        <v>0</v>
      </c>
    </row>
    <row r="3" spans="1:11" x14ac:dyDescent="0.15">
      <c r="A3" t="s">
        <v>1126</v>
      </c>
      <c r="B3">
        <v>2751</v>
      </c>
      <c r="C3">
        <v>3.9</v>
      </c>
      <c r="D3">
        <v>705</v>
      </c>
      <c r="E3">
        <v>1407</v>
      </c>
      <c r="F3">
        <v>1344</v>
      </c>
      <c r="G3">
        <v>7</v>
      </c>
      <c r="H3">
        <v>26</v>
      </c>
    </row>
    <row r="4" spans="1:11" x14ac:dyDescent="0.15">
      <c r="A4" t="s">
        <v>1151</v>
      </c>
      <c r="B4">
        <v>2643</v>
      </c>
      <c r="C4">
        <v>3.81</v>
      </c>
      <c r="D4">
        <v>694</v>
      </c>
      <c r="E4">
        <v>1161</v>
      </c>
      <c r="F4">
        <v>1482</v>
      </c>
      <c r="G4">
        <v>6</v>
      </c>
      <c r="H4">
        <v>134</v>
      </c>
    </row>
    <row r="5" spans="1:11" x14ac:dyDescent="0.15">
      <c r="A5" t="s">
        <v>731</v>
      </c>
      <c r="B5">
        <v>2638</v>
      </c>
      <c r="C5">
        <v>3.83</v>
      </c>
      <c r="D5">
        <v>688</v>
      </c>
      <c r="E5">
        <v>1532</v>
      </c>
      <c r="F5">
        <v>1106</v>
      </c>
      <c r="G5">
        <v>9</v>
      </c>
      <c r="H5">
        <v>139</v>
      </c>
    </row>
    <row r="6" spans="1:11" x14ac:dyDescent="0.15">
      <c r="A6" t="s">
        <v>848</v>
      </c>
      <c r="B6">
        <v>2565</v>
      </c>
      <c r="C6">
        <v>3.6</v>
      </c>
      <c r="D6">
        <v>712</v>
      </c>
      <c r="E6">
        <v>1347</v>
      </c>
      <c r="F6">
        <v>1218</v>
      </c>
      <c r="G6">
        <v>10</v>
      </c>
      <c r="H6">
        <v>212</v>
      </c>
    </row>
    <row r="7" spans="1:11" x14ac:dyDescent="0.15">
      <c r="A7" t="s">
        <v>1127</v>
      </c>
      <c r="B7">
        <v>2561</v>
      </c>
      <c r="C7">
        <v>3.66</v>
      </c>
      <c r="D7">
        <v>700</v>
      </c>
      <c r="E7">
        <v>1281</v>
      </c>
      <c r="F7">
        <v>1280</v>
      </c>
      <c r="G7">
        <v>8</v>
      </c>
      <c r="H7">
        <v>216</v>
      </c>
    </row>
    <row r="8" spans="1:11" x14ac:dyDescent="0.15">
      <c r="A8" t="s">
        <v>1138</v>
      </c>
      <c r="B8">
        <v>2420</v>
      </c>
      <c r="C8">
        <v>3.43</v>
      </c>
      <c r="D8">
        <v>705</v>
      </c>
      <c r="E8">
        <v>1264</v>
      </c>
      <c r="F8">
        <v>1156</v>
      </c>
      <c r="G8">
        <v>1</v>
      </c>
      <c r="H8">
        <v>357</v>
      </c>
    </row>
    <row r="9" spans="1:11" x14ac:dyDescent="0.15">
      <c r="A9" t="s">
        <v>1111</v>
      </c>
      <c r="B9">
        <v>2388</v>
      </c>
      <c r="C9">
        <v>3.67</v>
      </c>
      <c r="D9">
        <v>650</v>
      </c>
      <c r="E9">
        <v>1059</v>
      </c>
      <c r="F9">
        <v>1329</v>
      </c>
      <c r="G9">
        <v>5</v>
      </c>
      <c r="H9">
        <v>389</v>
      </c>
    </row>
    <row r="10" spans="1:11" x14ac:dyDescent="0.15">
      <c r="A10" t="s">
        <v>1132</v>
      </c>
      <c r="B10">
        <v>2369</v>
      </c>
      <c r="C10">
        <v>3.55</v>
      </c>
      <c r="D10">
        <v>667</v>
      </c>
      <c r="E10">
        <v>1095</v>
      </c>
      <c r="F10">
        <v>1274</v>
      </c>
      <c r="G10">
        <v>11</v>
      </c>
      <c r="H10">
        <v>408</v>
      </c>
    </row>
    <row r="11" spans="1:11" x14ac:dyDescent="0.15">
      <c r="A11" t="s">
        <v>1152</v>
      </c>
      <c r="B11">
        <v>2301</v>
      </c>
      <c r="C11">
        <v>3.48</v>
      </c>
      <c r="D11">
        <v>662</v>
      </c>
      <c r="E11">
        <v>1273</v>
      </c>
      <c r="F11">
        <v>1028</v>
      </c>
      <c r="G11">
        <v>4</v>
      </c>
      <c r="H11">
        <v>476</v>
      </c>
    </row>
    <row r="12" spans="1:11" x14ac:dyDescent="0.15">
      <c r="A12" t="s">
        <v>1134</v>
      </c>
      <c r="B12">
        <v>2062</v>
      </c>
      <c r="C12">
        <v>3.23</v>
      </c>
      <c r="D12">
        <v>638</v>
      </c>
      <c r="E12">
        <v>1149</v>
      </c>
      <c r="F12">
        <v>913</v>
      </c>
      <c r="G12">
        <v>2</v>
      </c>
      <c r="H12">
        <v>715</v>
      </c>
    </row>
    <row r="13" spans="1:11" x14ac:dyDescent="0.15">
      <c r="A13" t="s">
        <v>1153</v>
      </c>
      <c r="B13">
        <v>1558</v>
      </c>
      <c r="C13">
        <v>2.76</v>
      </c>
      <c r="D13">
        <v>565</v>
      </c>
      <c r="E13">
        <v>1032</v>
      </c>
      <c r="F13">
        <v>526</v>
      </c>
      <c r="G13">
        <v>3</v>
      </c>
      <c r="H13">
        <v>1219</v>
      </c>
    </row>
  </sheetData>
  <hyperlinks>
    <hyperlink ref="B1" r:id="rId1" display="Diff" xr:uid="{87C7E572-240E-424E-8600-6124BA3FDD82}"/>
    <hyperlink ref="D1" r:id="rId2" tooltip="Games Played" xr:uid="{B3EBF80F-D9B8-9A41-B653-32AC9B66D1FC}"/>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1538A-1709-C444-B8A4-1FACFF98172B}">
  <dimension ref="A1:H13"/>
  <sheetViews>
    <sheetView workbookViewId="0">
      <selection activeCell="J30" sqref="J30"/>
    </sheetView>
  </sheetViews>
  <sheetFormatPr baseColWidth="10" defaultRowHeight="13" x14ac:dyDescent="0.15"/>
  <cols>
    <col min="1" max="1" width="25.83203125" customWidth="1"/>
  </cols>
  <sheetData>
    <row r="1" spans="1:8" s="141" customFormat="1" ht="18" x14ac:dyDescent="0.2">
      <c r="A1" s="141" t="s">
        <v>787</v>
      </c>
      <c r="B1" s="141" t="s">
        <v>837</v>
      </c>
      <c r="C1" s="141" t="s">
        <v>663</v>
      </c>
      <c r="D1" s="141" t="s">
        <v>1106</v>
      </c>
      <c r="E1" s="141" t="s">
        <v>1122</v>
      </c>
      <c r="F1" s="141" t="s">
        <v>1123</v>
      </c>
      <c r="G1" s="141" t="s">
        <v>1124</v>
      </c>
      <c r="H1" s="141" t="s">
        <v>1125</v>
      </c>
    </row>
    <row r="2" spans="1:8" s="142" customFormat="1" ht="18" x14ac:dyDescent="0.2">
      <c r="A2" s="142" t="s">
        <v>731</v>
      </c>
      <c r="B2" s="142">
        <v>7995</v>
      </c>
      <c r="C2" s="142">
        <v>4.16</v>
      </c>
      <c r="D2" s="142">
        <v>1921</v>
      </c>
      <c r="E2" s="142">
        <v>4070</v>
      </c>
      <c r="F2" s="142">
        <v>3925</v>
      </c>
      <c r="G2" s="142">
        <v>9</v>
      </c>
      <c r="H2" s="142">
        <v>0</v>
      </c>
    </row>
    <row r="3" spans="1:8" s="142" customFormat="1" ht="18" x14ac:dyDescent="0.2">
      <c r="A3" s="142" t="s">
        <v>1126</v>
      </c>
      <c r="B3" s="142">
        <v>7791</v>
      </c>
      <c r="C3" s="142">
        <v>4.0599999999999996</v>
      </c>
      <c r="D3" s="142">
        <v>1918</v>
      </c>
      <c r="E3" s="142">
        <v>4110</v>
      </c>
      <c r="F3" s="142">
        <v>3681</v>
      </c>
      <c r="G3" s="142">
        <v>11</v>
      </c>
      <c r="H3" s="142">
        <v>204</v>
      </c>
    </row>
    <row r="4" spans="1:8" s="142" customFormat="1" ht="18" x14ac:dyDescent="0.2">
      <c r="A4" s="142" t="s">
        <v>1127</v>
      </c>
      <c r="B4" s="142">
        <v>7643</v>
      </c>
      <c r="C4" s="142">
        <v>4.04</v>
      </c>
      <c r="D4" s="142">
        <v>1894</v>
      </c>
      <c r="E4" s="142">
        <v>3663</v>
      </c>
      <c r="F4" s="142">
        <v>3980</v>
      </c>
      <c r="G4" s="142">
        <v>3</v>
      </c>
      <c r="H4" s="142">
        <v>352</v>
      </c>
    </row>
    <row r="5" spans="1:8" s="142" customFormat="1" ht="18" x14ac:dyDescent="0.2">
      <c r="A5" s="142" t="s">
        <v>1128</v>
      </c>
      <c r="B5" s="142">
        <v>7559</v>
      </c>
      <c r="C5" s="142">
        <v>3.94</v>
      </c>
      <c r="D5" s="142">
        <v>1917</v>
      </c>
      <c r="E5" s="142">
        <v>3882</v>
      </c>
      <c r="F5" s="142">
        <v>3677</v>
      </c>
      <c r="G5" s="142">
        <v>12</v>
      </c>
      <c r="H5" s="142">
        <v>436</v>
      </c>
    </row>
    <row r="6" spans="1:8" s="142" customFormat="1" ht="18" x14ac:dyDescent="0.2">
      <c r="A6" s="142" t="s">
        <v>847</v>
      </c>
      <c r="B6" s="142">
        <v>7503</v>
      </c>
      <c r="C6" s="142">
        <v>4</v>
      </c>
      <c r="D6" s="142">
        <v>1875</v>
      </c>
      <c r="E6" s="142">
        <v>3644</v>
      </c>
      <c r="F6" s="142">
        <v>3859</v>
      </c>
      <c r="G6" s="142">
        <v>8</v>
      </c>
      <c r="H6" s="142">
        <v>492</v>
      </c>
    </row>
    <row r="7" spans="1:8" s="142" customFormat="1" ht="18" x14ac:dyDescent="0.2">
      <c r="A7" s="142" t="s">
        <v>1129</v>
      </c>
      <c r="B7" s="142">
        <v>7440</v>
      </c>
      <c r="C7" s="142">
        <v>3.92</v>
      </c>
      <c r="D7" s="142">
        <v>1899</v>
      </c>
      <c r="E7" s="142">
        <v>3752</v>
      </c>
      <c r="F7" s="142">
        <v>3688</v>
      </c>
      <c r="G7" s="142">
        <v>6</v>
      </c>
      <c r="H7" s="142">
        <v>555</v>
      </c>
    </row>
    <row r="8" spans="1:8" s="142" customFormat="1" ht="18" x14ac:dyDescent="0.2">
      <c r="A8" s="142" t="s">
        <v>1130</v>
      </c>
      <c r="B8" s="142">
        <v>7065</v>
      </c>
      <c r="C8" s="142">
        <v>3.74</v>
      </c>
      <c r="D8" s="142">
        <v>1890</v>
      </c>
      <c r="E8" s="142">
        <v>3961</v>
      </c>
      <c r="F8" s="142">
        <v>3104</v>
      </c>
      <c r="G8" s="142">
        <v>2</v>
      </c>
      <c r="H8" s="142">
        <v>930</v>
      </c>
    </row>
    <row r="9" spans="1:8" s="142" customFormat="1" ht="18" x14ac:dyDescent="0.2">
      <c r="A9" s="142" t="s">
        <v>1131</v>
      </c>
      <c r="B9" s="142">
        <v>7011</v>
      </c>
      <c r="C9" s="142">
        <v>3.65</v>
      </c>
      <c r="D9" s="142">
        <v>1921</v>
      </c>
      <c r="E9" s="142">
        <v>3868</v>
      </c>
      <c r="F9" s="142">
        <v>3143</v>
      </c>
      <c r="G9" s="142">
        <v>4</v>
      </c>
      <c r="H9" s="142">
        <v>984</v>
      </c>
    </row>
    <row r="10" spans="1:8" s="142" customFormat="1" ht="18" x14ac:dyDescent="0.2">
      <c r="A10" s="142" t="s">
        <v>848</v>
      </c>
      <c r="B10" s="142">
        <v>6802</v>
      </c>
      <c r="C10" s="142">
        <v>3.58</v>
      </c>
      <c r="D10" s="142">
        <v>1899</v>
      </c>
      <c r="E10" s="142">
        <v>3373</v>
      </c>
      <c r="F10" s="142">
        <v>3429</v>
      </c>
      <c r="G10" s="142">
        <v>7</v>
      </c>
      <c r="H10" s="142">
        <v>1193</v>
      </c>
    </row>
    <row r="11" spans="1:8" s="142" customFormat="1" ht="18" x14ac:dyDescent="0.2">
      <c r="A11" s="142" t="s">
        <v>1132</v>
      </c>
      <c r="B11" s="142">
        <v>6673</v>
      </c>
      <c r="C11" s="142">
        <v>3.64</v>
      </c>
      <c r="D11" s="142">
        <v>1835</v>
      </c>
      <c r="E11" s="142">
        <v>3537</v>
      </c>
      <c r="F11" s="142">
        <v>3136</v>
      </c>
      <c r="G11" s="142">
        <v>5</v>
      </c>
      <c r="H11" s="142">
        <v>1322</v>
      </c>
    </row>
    <row r="12" spans="1:8" s="142" customFormat="1" ht="18" x14ac:dyDescent="0.2">
      <c r="A12" s="142" t="s">
        <v>1133</v>
      </c>
      <c r="B12" s="142">
        <v>6183</v>
      </c>
      <c r="C12" s="142">
        <v>3.23</v>
      </c>
      <c r="D12" s="142">
        <v>1912</v>
      </c>
      <c r="E12" s="142">
        <v>3391</v>
      </c>
      <c r="F12" s="142">
        <v>2792</v>
      </c>
      <c r="G12" s="142">
        <v>10</v>
      </c>
      <c r="H12" s="142">
        <v>1812</v>
      </c>
    </row>
    <row r="13" spans="1:8" s="142" customFormat="1" ht="18" x14ac:dyDescent="0.2">
      <c r="A13" s="142" t="s">
        <v>1134</v>
      </c>
      <c r="B13" s="142">
        <v>5923</v>
      </c>
      <c r="C13" s="142">
        <v>3.55</v>
      </c>
      <c r="D13" s="142">
        <v>1669</v>
      </c>
      <c r="E13" s="142">
        <v>3454</v>
      </c>
      <c r="F13" s="142">
        <v>2469</v>
      </c>
      <c r="G13" s="142">
        <v>1</v>
      </c>
      <c r="H13" s="142">
        <v>2072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48"/>
  <sheetViews>
    <sheetView workbookViewId="0">
      <selection activeCell="E16" sqref="E16"/>
    </sheetView>
  </sheetViews>
  <sheetFormatPr baseColWidth="10" defaultColWidth="11" defaultRowHeight="13" x14ac:dyDescent="0.15"/>
  <cols>
    <col min="1" max="1" width="20" customWidth="1"/>
    <col min="2" max="2" width="11" customWidth="1"/>
    <col min="3" max="3" width="11.5" customWidth="1"/>
    <col min="4" max="4" width="11.6640625" customWidth="1"/>
    <col min="5" max="5" width="11" customWidth="1"/>
    <col min="6" max="6" width="11.5" customWidth="1"/>
    <col min="7" max="7" width="11.83203125" customWidth="1"/>
    <col min="8" max="8" width="9.5" customWidth="1"/>
    <col min="10" max="10" width="8.5" customWidth="1"/>
    <col min="12" max="12" width="12.33203125" customWidth="1"/>
    <col min="14" max="14" width="11.6640625" customWidth="1"/>
    <col min="15" max="15" width="12.5" customWidth="1"/>
    <col min="16" max="16" width="12" bestFit="1" customWidth="1"/>
    <col min="17" max="17" width="11.5" customWidth="1"/>
    <col min="18" max="18" width="15.83203125" customWidth="1"/>
  </cols>
  <sheetData>
    <row r="1" spans="1:18" x14ac:dyDescent="0.15">
      <c r="C1" s="1"/>
    </row>
    <row r="2" spans="1:18" s="14" customFormat="1" ht="16" x14ac:dyDescent="0.2">
      <c r="A2" s="13"/>
      <c r="B2" s="14" t="s">
        <v>703</v>
      </c>
      <c r="C2" s="14" t="s">
        <v>702</v>
      </c>
      <c r="D2" s="14" t="s">
        <v>706</v>
      </c>
      <c r="E2" s="14" t="s">
        <v>704</v>
      </c>
      <c r="F2" s="14" t="s">
        <v>713</v>
      </c>
      <c r="G2" s="14" t="s">
        <v>710</v>
      </c>
      <c r="H2" s="14" t="s">
        <v>711</v>
      </c>
      <c r="I2" s="14" t="s">
        <v>820</v>
      </c>
      <c r="J2" s="14" t="s">
        <v>709</v>
      </c>
      <c r="K2" s="14" t="s">
        <v>835</v>
      </c>
      <c r="L2" s="14" t="s">
        <v>828</v>
      </c>
      <c r="M2" s="14" t="s">
        <v>1105</v>
      </c>
      <c r="N2" s="14" t="s">
        <v>708</v>
      </c>
      <c r="O2" s="14" t="s">
        <v>705</v>
      </c>
      <c r="P2" s="14" t="s">
        <v>712</v>
      </c>
      <c r="Q2" s="14" t="s">
        <v>707</v>
      </c>
      <c r="R2" s="14" t="s">
        <v>986</v>
      </c>
    </row>
    <row r="3" spans="1:18" x14ac:dyDescent="0.15">
      <c r="A3" s="12">
        <v>2001</v>
      </c>
      <c r="B3" s="12">
        <v>7746</v>
      </c>
      <c r="C3" s="12">
        <v>7834</v>
      </c>
      <c r="D3" s="12">
        <v>8240</v>
      </c>
      <c r="E3" s="12">
        <v>8372</v>
      </c>
      <c r="F3" s="12">
        <v>7068</v>
      </c>
      <c r="G3" s="12">
        <v>7970</v>
      </c>
      <c r="H3" s="12">
        <v>6244</v>
      </c>
      <c r="I3" s="12"/>
      <c r="J3" s="12" t="s">
        <v>715</v>
      </c>
      <c r="N3" s="12" t="s">
        <v>715</v>
      </c>
      <c r="O3" s="12">
        <v>7456</v>
      </c>
      <c r="P3" s="12" t="s">
        <v>715</v>
      </c>
      <c r="Q3" s="12" t="s">
        <v>715</v>
      </c>
    </row>
    <row r="4" spans="1:18" x14ac:dyDescent="0.15">
      <c r="A4" s="12">
        <v>2002</v>
      </c>
      <c r="B4" s="17">
        <v>8778</v>
      </c>
      <c r="C4" s="12">
        <v>8557</v>
      </c>
      <c r="D4" s="12">
        <v>8165</v>
      </c>
      <c r="E4" s="12">
        <v>8127</v>
      </c>
      <c r="F4" s="12">
        <v>7558</v>
      </c>
      <c r="G4" s="12">
        <v>7071</v>
      </c>
      <c r="H4" s="12">
        <v>7573</v>
      </c>
      <c r="I4" s="3">
        <v>7434</v>
      </c>
      <c r="J4" s="12" t="s">
        <v>715</v>
      </c>
      <c r="N4" s="12" t="s">
        <v>715</v>
      </c>
      <c r="O4" s="12">
        <v>8330</v>
      </c>
      <c r="P4" s="12" t="s">
        <v>715</v>
      </c>
      <c r="Q4" s="12" t="s">
        <v>715</v>
      </c>
    </row>
    <row r="5" spans="1:18" x14ac:dyDescent="0.15">
      <c r="A5" s="12">
        <v>2003</v>
      </c>
      <c r="B5" s="12">
        <v>7628</v>
      </c>
      <c r="C5" s="12">
        <v>8703</v>
      </c>
      <c r="D5" s="12">
        <v>7863</v>
      </c>
      <c r="E5" s="12">
        <v>8042</v>
      </c>
      <c r="F5" s="12">
        <v>7455</v>
      </c>
      <c r="G5" s="12">
        <v>7468</v>
      </c>
      <c r="H5" s="12">
        <v>6945</v>
      </c>
      <c r="I5" s="12"/>
      <c r="J5" s="12">
        <v>7475</v>
      </c>
      <c r="N5" s="17">
        <v>8945</v>
      </c>
      <c r="O5" s="12">
        <v>8281</v>
      </c>
      <c r="P5" s="12">
        <v>7803</v>
      </c>
      <c r="Q5" s="12">
        <v>7380</v>
      </c>
    </row>
    <row r="6" spans="1:18" x14ac:dyDescent="0.15">
      <c r="A6" s="12">
        <v>2004</v>
      </c>
      <c r="B6" s="12">
        <v>8590</v>
      </c>
      <c r="C6" s="17">
        <v>8950</v>
      </c>
      <c r="D6" s="12">
        <v>8116</v>
      </c>
      <c r="E6" s="12">
        <v>7584</v>
      </c>
      <c r="F6" s="12">
        <v>7881</v>
      </c>
      <c r="G6" s="12">
        <v>8534</v>
      </c>
      <c r="H6" s="12">
        <v>6817</v>
      </c>
      <c r="I6" s="12"/>
      <c r="J6" s="12">
        <v>7308</v>
      </c>
      <c r="N6" s="12">
        <v>7695</v>
      </c>
      <c r="O6" s="12">
        <v>7991</v>
      </c>
      <c r="P6" s="12">
        <v>7220</v>
      </c>
      <c r="Q6" s="12">
        <v>7799</v>
      </c>
    </row>
    <row r="7" spans="1:18" x14ac:dyDescent="0.15">
      <c r="A7" s="12">
        <v>2005</v>
      </c>
      <c r="B7" s="12">
        <v>8551</v>
      </c>
      <c r="C7" s="12">
        <v>8297</v>
      </c>
      <c r="D7" s="12">
        <v>7902</v>
      </c>
      <c r="E7" s="12">
        <v>7293</v>
      </c>
      <c r="F7" s="12">
        <v>7753</v>
      </c>
      <c r="G7" s="12">
        <v>6855</v>
      </c>
      <c r="H7" s="12">
        <v>8060</v>
      </c>
      <c r="I7" s="12"/>
      <c r="J7" s="12">
        <v>7005</v>
      </c>
      <c r="N7" s="12">
        <v>7329</v>
      </c>
      <c r="O7" s="17">
        <v>8795</v>
      </c>
      <c r="P7" s="12">
        <v>8434</v>
      </c>
      <c r="Q7" s="12">
        <v>7382</v>
      </c>
    </row>
    <row r="8" spans="1:18" x14ac:dyDescent="0.15">
      <c r="A8" s="12">
        <v>2006</v>
      </c>
      <c r="B8" s="12">
        <v>7772</v>
      </c>
      <c r="C8" s="12">
        <v>7793</v>
      </c>
      <c r="D8" s="12">
        <v>8300</v>
      </c>
      <c r="E8" s="17">
        <v>8616</v>
      </c>
      <c r="F8" s="12">
        <v>8393</v>
      </c>
      <c r="G8" s="12">
        <v>8119</v>
      </c>
      <c r="H8" s="12">
        <v>7799</v>
      </c>
      <c r="I8" s="12"/>
      <c r="J8" s="12">
        <v>7734</v>
      </c>
      <c r="N8" s="12">
        <v>8024</v>
      </c>
      <c r="O8" s="12">
        <v>7158</v>
      </c>
      <c r="P8" s="12">
        <v>7779</v>
      </c>
      <c r="Q8" s="12">
        <v>7255</v>
      </c>
    </row>
    <row r="9" spans="1:18" x14ac:dyDescent="0.15">
      <c r="A9" s="12">
        <v>2007</v>
      </c>
      <c r="B9" s="12">
        <v>7236</v>
      </c>
      <c r="C9" s="17">
        <v>8637</v>
      </c>
      <c r="D9" s="12">
        <v>8181</v>
      </c>
      <c r="E9" s="12">
        <v>8054</v>
      </c>
      <c r="F9" s="12">
        <v>8078</v>
      </c>
      <c r="G9" s="12">
        <v>7085</v>
      </c>
      <c r="H9" s="12">
        <v>7846</v>
      </c>
      <c r="I9" s="12"/>
      <c r="J9" s="12">
        <v>7127</v>
      </c>
      <c r="N9" s="12">
        <v>7766</v>
      </c>
      <c r="O9" s="12">
        <v>8626</v>
      </c>
      <c r="P9" s="12">
        <v>7687</v>
      </c>
      <c r="Q9" s="12">
        <v>7970</v>
      </c>
    </row>
    <row r="10" spans="1:18" x14ac:dyDescent="0.15">
      <c r="A10" s="12">
        <v>2008</v>
      </c>
      <c r="B10" s="18">
        <v>8685</v>
      </c>
      <c r="C10" s="12">
        <v>7808</v>
      </c>
      <c r="D10" s="12">
        <v>8248</v>
      </c>
      <c r="E10" s="12">
        <v>7540</v>
      </c>
      <c r="F10" s="12">
        <v>8230</v>
      </c>
      <c r="G10" s="12">
        <v>8253</v>
      </c>
      <c r="H10" s="12">
        <v>6773</v>
      </c>
      <c r="I10" s="12"/>
      <c r="J10" s="12">
        <v>7862</v>
      </c>
      <c r="N10" s="12">
        <v>7467</v>
      </c>
      <c r="O10" s="12">
        <v>7071</v>
      </c>
      <c r="P10" s="12">
        <v>7375</v>
      </c>
      <c r="Q10" s="12">
        <v>7897</v>
      </c>
    </row>
    <row r="11" spans="1:18" x14ac:dyDescent="0.15">
      <c r="A11" s="12">
        <v>2009</v>
      </c>
      <c r="B11" s="12">
        <v>8344</v>
      </c>
      <c r="C11" s="12">
        <v>7470</v>
      </c>
      <c r="D11" s="12">
        <v>8018</v>
      </c>
      <c r="E11" s="12">
        <v>7760</v>
      </c>
      <c r="F11" s="12">
        <v>7506</v>
      </c>
      <c r="G11" s="12">
        <v>8167</v>
      </c>
      <c r="H11" s="12">
        <v>6860</v>
      </c>
      <c r="I11" s="12"/>
      <c r="J11" s="12">
        <v>8225</v>
      </c>
      <c r="N11" s="12">
        <v>8751</v>
      </c>
      <c r="O11" s="12">
        <v>7352</v>
      </c>
      <c r="P11" s="12">
        <v>6910</v>
      </c>
      <c r="Q11" s="12">
        <v>7279</v>
      </c>
    </row>
    <row r="12" spans="1:18" x14ac:dyDescent="0.15">
      <c r="A12" s="12">
        <v>2010</v>
      </c>
      <c r="B12" s="17">
        <v>8820</v>
      </c>
      <c r="C12" s="12">
        <v>8275</v>
      </c>
      <c r="D12" s="12">
        <v>7595</v>
      </c>
      <c r="E12" s="12">
        <v>7467</v>
      </c>
      <c r="F12" s="12">
        <v>8006</v>
      </c>
      <c r="G12" s="12">
        <v>7728</v>
      </c>
      <c r="H12" s="12">
        <v>7523</v>
      </c>
      <c r="I12" s="126">
        <v>8045</v>
      </c>
      <c r="J12" s="12">
        <v>7531</v>
      </c>
      <c r="K12" s="126"/>
      <c r="N12" s="12">
        <v>7174</v>
      </c>
      <c r="O12" s="12" t="s">
        <v>819</v>
      </c>
      <c r="P12" s="12">
        <v>7700</v>
      </c>
      <c r="Q12" s="12">
        <v>6908</v>
      </c>
    </row>
    <row r="13" spans="1:18" x14ac:dyDescent="0.15">
      <c r="A13" s="12">
        <v>2011</v>
      </c>
      <c r="B13" s="12">
        <v>8029</v>
      </c>
      <c r="C13" s="12">
        <v>7464</v>
      </c>
      <c r="D13" s="12">
        <v>7188</v>
      </c>
      <c r="E13" s="12">
        <v>7722</v>
      </c>
      <c r="F13" s="12">
        <v>7885</v>
      </c>
      <c r="G13" s="12">
        <v>6808</v>
      </c>
      <c r="H13" s="12">
        <v>7524</v>
      </c>
      <c r="I13" s="127">
        <v>8206</v>
      </c>
      <c r="J13" s="12">
        <v>7710</v>
      </c>
      <c r="K13" s="12">
        <v>6806</v>
      </c>
      <c r="L13" s="12">
        <v>7761</v>
      </c>
      <c r="N13" s="125" t="s">
        <v>1103</v>
      </c>
      <c r="O13" s="12" t="s">
        <v>1103</v>
      </c>
      <c r="P13" s="12" t="s">
        <v>1103</v>
      </c>
      <c r="Q13" s="12">
        <v>7189</v>
      </c>
      <c r="R13" s="12"/>
    </row>
    <row r="14" spans="1:18" x14ac:dyDescent="0.15">
      <c r="A14" s="12">
        <v>2012</v>
      </c>
      <c r="B14" s="12">
        <v>7865</v>
      </c>
      <c r="C14" s="12">
        <v>7632</v>
      </c>
      <c r="D14" s="12">
        <v>7998</v>
      </c>
      <c r="E14" s="17">
        <v>8235</v>
      </c>
      <c r="F14" s="12">
        <v>7406</v>
      </c>
      <c r="G14" s="12">
        <v>7694</v>
      </c>
      <c r="H14" s="12">
        <v>7274</v>
      </c>
      <c r="I14" s="126">
        <v>7087</v>
      </c>
      <c r="J14" s="12">
        <v>7464</v>
      </c>
      <c r="K14" s="12">
        <v>7133</v>
      </c>
      <c r="L14" s="12">
        <v>7935</v>
      </c>
      <c r="N14" s="12" t="s">
        <v>1103</v>
      </c>
      <c r="O14" s="12" t="s">
        <v>1103</v>
      </c>
      <c r="P14" s="12" t="s">
        <v>1103</v>
      </c>
      <c r="Q14" s="12" t="s">
        <v>1103</v>
      </c>
      <c r="R14" s="12">
        <v>6687</v>
      </c>
    </row>
    <row r="15" spans="1:18" x14ac:dyDescent="0.15">
      <c r="A15" s="12">
        <v>2013</v>
      </c>
      <c r="B15" s="128">
        <v>7781</v>
      </c>
      <c r="C15" s="12">
        <v>7217</v>
      </c>
      <c r="D15" s="12">
        <v>7018</v>
      </c>
      <c r="E15" s="12">
        <v>7496</v>
      </c>
      <c r="F15" s="12">
        <v>7371</v>
      </c>
      <c r="G15" s="12">
        <v>7045</v>
      </c>
      <c r="H15" s="12">
        <v>7520</v>
      </c>
      <c r="I15" s="12">
        <v>8019</v>
      </c>
      <c r="J15" s="17">
        <v>8087</v>
      </c>
      <c r="K15" s="12">
        <v>7084</v>
      </c>
      <c r="L15" s="12">
        <v>7721</v>
      </c>
      <c r="M15" s="12">
        <v>6986</v>
      </c>
      <c r="N15" s="12"/>
      <c r="O15" s="12"/>
      <c r="P15" s="12"/>
      <c r="Q15" s="12"/>
    </row>
    <row r="16" spans="1:18" x14ac:dyDescent="0.15">
      <c r="A16" s="12">
        <v>2014</v>
      </c>
      <c r="B16" s="128">
        <v>7201</v>
      </c>
      <c r="C16" s="12">
        <v>7531</v>
      </c>
      <c r="D16" s="12">
        <v>7849</v>
      </c>
      <c r="E16" s="17">
        <v>8137</v>
      </c>
      <c r="F16" s="12">
        <v>6524</v>
      </c>
      <c r="G16" s="12">
        <v>6957</v>
      </c>
      <c r="H16" s="12">
        <v>7419</v>
      </c>
      <c r="I16" s="12">
        <v>8123</v>
      </c>
      <c r="J16" s="12">
        <v>7809</v>
      </c>
      <c r="K16" s="12">
        <v>6416</v>
      </c>
      <c r="L16" s="12">
        <v>7666</v>
      </c>
      <c r="M16" s="12">
        <v>6517</v>
      </c>
      <c r="N16" s="12" t="s">
        <v>1103</v>
      </c>
      <c r="O16" s="12"/>
      <c r="P16" s="12"/>
      <c r="Q16" s="12"/>
    </row>
    <row r="17" spans="1:18" x14ac:dyDescent="0.15">
      <c r="A17" s="12"/>
      <c r="B17" s="12"/>
      <c r="C17" s="12"/>
      <c r="D17" s="12"/>
      <c r="E17" s="12"/>
      <c r="F17" s="12"/>
      <c r="G17" s="12"/>
      <c r="H17" s="12"/>
      <c r="I17" s="12"/>
      <c r="J17" s="12"/>
      <c r="N17" s="12"/>
      <c r="O17" s="12"/>
      <c r="P17" s="12"/>
      <c r="Q17" s="12"/>
    </row>
    <row r="18" spans="1:18" s="16" customFormat="1" ht="18" x14ac:dyDescent="0.2">
      <c r="A18" s="15" t="s">
        <v>714</v>
      </c>
      <c r="B18" s="16">
        <f t="shared" ref="B18:M18" si="0">AVERAGE(B3:B16)</f>
        <v>8073.2857142857147</v>
      </c>
      <c r="C18" s="16">
        <f t="shared" si="0"/>
        <v>8012</v>
      </c>
      <c r="D18" s="16">
        <f t="shared" si="0"/>
        <v>7905.7857142857147</v>
      </c>
      <c r="E18" s="16">
        <f t="shared" si="0"/>
        <v>7888.9285714285716</v>
      </c>
      <c r="F18" s="16">
        <f t="shared" si="0"/>
        <v>7651</v>
      </c>
      <c r="G18" s="16">
        <f t="shared" si="0"/>
        <v>7553.8571428571431</v>
      </c>
      <c r="H18" s="16">
        <f t="shared" si="0"/>
        <v>7298.3571428571431</v>
      </c>
      <c r="I18" s="16">
        <f t="shared" si="0"/>
        <v>7819</v>
      </c>
      <c r="J18" s="16">
        <f t="shared" si="0"/>
        <v>7611.416666666667</v>
      </c>
      <c r="K18" s="16">
        <f t="shared" si="0"/>
        <v>6859.75</v>
      </c>
      <c r="L18" s="16">
        <f t="shared" si="0"/>
        <v>7770.75</v>
      </c>
      <c r="M18" s="16">
        <f t="shared" si="0"/>
        <v>6751.5</v>
      </c>
      <c r="N18" s="16">
        <f>AVERAGE(N3:N14)</f>
        <v>7893.875</v>
      </c>
      <c r="O18" s="16">
        <f>AVERAGE(O3:O16)</f>
        <v>7895.5555555555557</v>
      </c>
      <c r="P18" s="16">
        <f>AVERAGE(P3:P16)</f>
        <v>7613.5</v>
      </c>
      <c r="Q18" s="16">
        <f>AVERAGE(Q3:Q16)</f>
        <v>7451</v>
      </c>
      <c r="R18" s="16">
        <f>AVERAGE(R3:R14)</f>
        <v>6687</v>
      </c>
    </row>
    <row r="19" spans="1:18" s="107" customFormat="1" ht="18" x14ac:dyDescent="0.2">
      <c r="A19" s="105" t="s">
        <v>205</v>
      </c>
      <c r="B19" s="106">
        <f t="shared" ref="B19:M19" si="1">SUM(B3:B16)</f>
        <v>113026</v>
      </c>
      <c r="C19" s="106">
        <f t="shared" si="1"/>
        <v>112168</v>
      </c>
      <c r="D19" s="106">
        <f t="shared" si="1"/>
        <v>110681</v>
      </c>
      <c r="E19" s="106">
        <f t="shared" si="1"/>
        <v>110445</v>
      </c>
      <c r="F19" s="106">
        <f t="shared" si="1"/>
        <v>107114</v>
      </c>
      <c r="G19" s="106">
        <f t="shared" si="1"/>
        <v>105754</v>
      </c>
      <c r="H19" s="106">
        <f t="shared" si="1"/>
        <v>102177</v>
      </c>
      <c r="I19" s="106">
        <f t="shared" si="1"/>
        <v>46914</v>
      </c>
      <c r="J19" s="106">
        <f t="shared" si="1"/>
        <v>91337</v>
      </c>
      <c r="K19" s="106">
        <f t="shared" si="1"/>
        <v>27439</v>
      </c>
      <c r="L19" s="106">
        <f t="shared" si="1"/>
        <v>31083</v>
      </c>
      <c r="M19" s="106">
        <f t="shared" si="1"/>
        <v>13503</v>
      </c>
      <c r="N19" s="106">
        <f>SUM(N3:N14)</f>
        <v>63151</v>
      </c>
      <c r="O19" s="106">
        <f>SUM(O3:O16)</f>
        <v>71060</v>
      </c>
      <c r="P19" s="106">
        <f>SUM(P3:P16)</f>
        <v>60908</v>
      </c>
      <c r="Q19" s="106">
        <f>SUM(Q3:Q16)</f>
        <v>67059</v>
      </c>
    </row>
    <row r="22" spans="1:18" x14ac:dyDescent="0.15">
      <c r="C22" s="18"/>
      <c r="D22" s="18"/>
      <c r="E22" s="18"/>
    </row>
    <row r="23" spans="1:18" x14ac:dyDescent="0.15">
      <c r="B23" s="12"/>
      <c r="C23" s="11"/>
      <c r="D23" s="11"/>
      <c r="E23" s="12"/>
      <c r="N23" s="12"/>
    </row>
    <row r="24" spans="1:18" x14ac:dyDescent="0.15">
      <c r="A24" s="1" t="s">
        <v>206</v>
      </c>
      <c r="E24" s="12"/>
    </row>
    <row r="25" spans="1:18" x14ac:dyDescent="0.15">
      <c r="A25" t="s">
        <v>213</v>
      </c>
      <c r="E25" s="12"/>
    </row>
    <row r="26" spans="1:18" x14ac:dyDescent="0.15">
      <c r="A26" t="s">
        <v>214</v>
      </c>
      <c r="E26" s="12"/>
    </row>
    <row r="27" spans="1:18" x14ac:dyDescent="0.15">
      <c r="E27" s="12"/>
    </row>
    <row r="28" spans="1:18" ht="15" x14ac:dyDescent="0.2">
      <c r="A28" t="s">
        <v>215</v>
      </c>
      <c r="E28" s="12"/>
      <c r="F28" s="87"/>
      <c r="O28" s="87"/>
    </row>
    <row r="29" spans="1:18" ht="15" x14ac:dyDescent="0.2">
      <c r="B29" s="12"/>
      <c r="C29" s="11"/>
      <c r="D29" s="11"/>
      <c r="E29" s="12"/>
      <c r="F29" s="87"/>
      <c r="N29" s="12"/>
      <c r="O29" s="87"/>
    </row>
    <row r="30" spans="1:18" ht="15" x14ac:dyDescent="0.2">
      <c r="B30" s="12"/>
      <c r="C30" s="11"/>
      <c r="D30" s="11"/>
      <c r="E30" s="12"/>
      <c r="F30" s="87"/>
      <c r="N30" s="12"/>
      <c r="O30" s="87"/>
    </row>
    <row r="31" spans="1:18" ht="15" x14ac:dyDescent="0.2">
      <c r="B31" s="12"/>
      <c r="C31" s="11"/>
      <c r="D31" s="11"/>
      <c r="E31" s="12"/>
      <c r="F31" s="87"/>
      <c r="N31" s="12"/>
      <c r="O31" s="87"/>
    </row>
    <row r="32" spans="1:18" ht="15" x14ac:dyDescent="0.2">
      <c r="B32" s="12"/>
      <c r="C32" s="11"/>
      <c r="D32" s="11"/>
      <c r="E32" s="12"/>
      <c r="F32" s="87"/>
      <c r="N32" s="12"/>
      <c r="O32" s="87"/>
    </row>
    <row r="33" spans="2:15" ht="15" x14ac:dyDescent="0.2">
      <c r="B33" s="12"/>
      <c r="C33" s="11"/>
      <c r="D33" s="11"/>
      <c r="E33" s="12"/>
      <c r="F33" s="87"/>
      <c r="N33" s="12"/>
      <c r="O33" s="87"/>
    </row>
    <row r="34" spans="2:15" ht="15" x14ac:dyDescent="0.2">
      <c r="B34" s="12"/>
      <c r="C34" s="11"/>
      <c r="D34" s="11"/>
      <c r="E34" s="12"/>
      <c r="F34" s="87"/>
      <c r="N34" s="12"/>
      <c r="O34" s="87"/>
    </row>
    <row r="35" spans="2:15" ht="15" x14ac:dyDescent="0.2">
      <c r="F35" s="87"/>
      <c r="O35" s="87"/>
    </row>
    <row r="36" spans="2:15" ht="15" x14ac:dyDescent="0.2">
      <c r="C36" s="18"/>
      <c r="D36" s="18"/>
      <c r="F36" s="87"/>
      <c r="O36" s="87"/>
    </row>
    <row r="37" spans="2:15" ht="15" x14ac:dyDescent="0.2">
      <c r="B37" s="12"/>
      <c r="C37" s="11"/>
      <c r="D37" s="11"/>
      <c r="F37" s="87"/>
      <c r="N37" s="12"/>
      <c r="O37" s="87"/>
    </row>
    <row r="38" spans="2:15" ht="15" x14ac:dyDescent="0.2">
      <c r="B38" s="12"/>
      <c r="C38" s="11"/>
      <c r="D38" s="90"/>
      <c r="F38" s="87"/>
      <c r="N38" s="12"/>
      <c r="O38" s="87"/>
    </row>
    <row r="39" spans="2:15" ht="15" x14ac:dyDescent="0.2">
      <c r="B39" s="12"/>
      <c r="C39" s="11"/>
      <c r="D39" s="11"/>
      <c r="F39" s="89"/>
      <c r="N39" s="12"/>
      <c r="O39" s="89"/>
    </row>
    <row r="40" spans="2:15" x14ac:dyDescent="0.15">
      <c r="B40" s="12"/>
      <c r="C40" s="11"/>
      <c r="D40" s="90"/>
      <c r="F40" s="88"/>
      <c r="N40" s="12"/>
      <c r="O40" s="88"/>
    </row>
    <row r="41" spans="2:15" x14ac:dyDescent="0.15">
      <c r="B41" s="12"/>
      <c r="C41" s="11"/>
      <c r="D41" s="11"/>
      <c r="N41" s="12"/>
    </row>
    <row r="42" spans="2:15" x14ac:dyDescent="0.15">
      <c r="B42" s="12"/>
      <c r="C42" s="11"/>
      <c r="D42" s="90"/>
      <c r="N42" s="12"/>
    </row>
    <row r="43" spans="2:15" x14ac:dyDescent="0.15">
      <c r="B43" s="12"/>
      <c r="C43" s="11"/>
      <c r="D43" s="11"/>
      <c r="N43" s="12"/>
    </row>
    <row r="44" spans="2:15" x14ac:dyDescent="0.15">
      <c r="B44" s="12"/>
      <c r="C44" s="11"/>
      <c r="D44" s="90"/>
      <c r="N44" s="12"/>
    </row>
    <row r="45" spans="2:15" x14ac:dyDescent="0.15">
      <c r="B45" s="12"/>
      <c r="C45" s="11"/>
      <c r="D45" s="90"/>
      <c r="N45" s="12"/>
    </row>
    <row r="46" spans="2:15" x14ac:dyDescent="0.15">
      <c r="B46" s="12"/>
      <c r="C46" s="11"/>
      <c r="D46" s="11"/>
      <c r="N46" s="12"/>
    </row>
    <row r="47" spans="2:15" x14ac:dyDescent="0.15">
      <c r="B47" s="12"/>
      <c r="C47" s="11"/>
      <c r="D47" s="11"/>
      <c r="N47" s="12"/>
    </row>
    <row r="48" spans="2:15" x14ac:dyDescent="0.15">
      <c r="B48" s="12"/>
      <c r="C48" s="11"/>
      <c r="D48" s="11"/>
      <c r="N48" s="12"/>
    </row>
  </sheetData>
  <phoneticPr fontId="0" type="noConversion"/>
  <pageMargins left="0.7" right="0.7" top="0.75" bottom="0.75" header="0.5" footer="0.5"/>
  <pageSetup paperSize="5" orientation="landscape" horizontalDpi="4294967292" verticalDpi="429496729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0"/>
  <sheetViews>
    <sheetView tabSelected="1" workbookViewId="0">
      <selection activeCell="I12" sqref="I12"/>
    </sheetView>
  </sheetViews>
  <sheetFormatPr baseColWidth="10" defaultColWidth="8.6640625" defaultRowHeight="13" x14ac:dyDescent="0.15"/>
  <cols>
    <col min="5" max="5" width="17.33203125" customWidth="1"/>
  </cols>
  <sheetData>
    <row r="1" spans="1:5" ht="30" x14ac:dyDescent="0.15">
      <c r="A1" s="10" t="s">
        <v>631</v>
      </c>
      <c r="B1" s="10" t="s">
        <v>789</v>
      </c>
      <c r="C1" s="10" t="s">
        <v>632</v>
      </c>
      <c r="D1" s="10" t="s">
        <v>633</v>
      </c>
      <c r="E1" s="10" t="s">
        <v>656</v>
      </c>
    </row>
    <row r="2" spans="1:5" x14ac:dyDescent="0.15">
      <c r="A2" s="12">
        <v>2001</v>
      </c>
      <c r="B2" s="12">
        <v>92716</v>
      </c>
      <c r="C2" s="28">
        <v>2.82</v>
      </c>
      <c r="D2" s="28">
        <v>11.5</v>
      </c>
      <c r="E2" s="12">
        <v>8041</v>
      </c>
    </row>
    <row r="3" spans="1:5" x14ac:dyDescent="0.15">
      <c r="A3" s="12">
        <v>2002</v>
      </c>
      <c r="B3" s="12">
        <v>93399</v>
      </c>
      <c r="C3" s="28">
        <v>2.76</v>
      </c>
      <c r="D3" s="28">
        <v>12.2</v>
      </c>
      <c r="E3" s="12">
        <v>8156</v>
      </c>
    </row>
    <row r="4" spans="1:5" x14ac:dyDescent="0.15">
      <c r="A4" s="12">
        <v>2003</v>
      </c>
      <c r="B4" s="12">
        <v>93988</v>
      </c>
      <c r="C4" s="28">
        <v>2.83</v>
      </c>
      <c r="D4" s="28">
        <v>11.71</v>
      </c>
      <c r="E4" s="12">
        <v>8121</v>
      </c>
    </row>
    <row r="5" spans="1:5" x14ac:dyDescent="0.15">
      <c r="A5" s="12">
        <v>2004</v>
      </c>
      <c r="B5" s="12">
        <v>94485</v>
      </c>
      <c r="C5" s="28">
        <v>2.8</v>
      </c>
      <c r="D5" s="28">
        <v>11.32</v>
      </c>
      <c r="E5" s="12">
        <v>7955</v>
      </c>
    </row>
    <row r="6" spans="1:5" x14ac:dyDescent="0.15">
      <c r="A6" s="12">
        <v>2005</v>
      </c>
      <c r="B6" s="12">
        <v>93656</v>
      </c>
      <c r="C6" s="28">
        <v>2.68</v>
      </c>
      <c r="D6" s="28">
        <v>11.71</v>
      </c>
      <c r="E6" s="12">
        <v>7878</v>
      </c>
    </row>
    <row r="7" spans="1:5" x14ac:dyDescent="0.15">
      <c r="A7" s="12">
        <v>2006</v>
      </c>
      <c r="B7" s="12">
        <v>94742</v>
      </c>
      <c r="C7" s="28">
        <v>2.84</v>
      </c>
      <c r="D7" s="28">
        <v>11.13</v>
      </c>
      <c r="E7" s="12">
        <v>7962</v>
      </c>
    </row>
    <row r="8" spans="1:5" x14ac:dyDescent="0.15">
      <c r="A8" s="12">
        <v>2007</v>
      </c>
      <c r="B8" s="12">
        <v>94293</v>
      </c>
      <c r="C8" s="28">
        <v>2.76</v>
      </c>
      <c r="D8" s="28">
        <v>11.32</v>
      </c>
      <c r="E8" s="12">
        <v>7890</v>
      </c>
    </row>
    <row r="9" spans="1:5" x14ac:dyDescent="0.15">
      <c r="A9" s="12">
        <v>2008</v>
      </c>
      <c r="B9" s="12">
        <v>93209</v>
      </c>
      <c r="C9" s="28">
        <v>2.7</v>
      </c>
      <c r="D9" s="28">
        <v>11.58</v>
      </c>
      <c r="E9" s="12">
        <v>7871</v>
      </c>
    </row>
    <row r="10" spans="1:5" x14ac:dyDescent="0.15">
      <c r="A10" s="12">
        <v>2009</v>
      </c>
      <c r="B10" s="12">
        <v>92642</v>
      </c>
      <c r="C10" s="28">
        <v>2.69</v>
      </c>
      <c r="D10" s="28">
        <v>11.55</v>
      </c>
      <c r="E10" s="12">
        <v>7846</v>
      </c>
    </row>
  </sheetData>
  <phoneticPr fontId="0" type="noConversion"/>
  <pageMargins left="0.7" right="0.7" top="0.75" bottom="0.75"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Overall</vt:lpstr>
      <vt:lpstr>TOTALS</vt:lpstr>
    </vt:vector>
  </TitlesOfParts>
  <Company>Duke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Cramer Jr</dc:creator>
  <cp:lastModifiedBy>Microsoft Office User</cp:lastModifiedBy>
  <dcterms:created xsi:type="dcterms:W3CDTF">2006-07-10T22:28:37Z</dcterms:created>
  <dcterms:modified xsi:type="dcterms:W3CDTF">2021-10-05T12:09:06Z</dcterms:modified>
</cp:coreProperties>
</file>